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Projects" sheetId="3" state="visible" r:id="rId5"/>
    <sheet name="Metrics" sheetId="4" state="visible" r:id="rId6"/>
    <sheet name="Trend" sheetId="5" state="visible" r:id="rId7"/>
    <sheet name="Agentic Repo" sheetId="6" state="visible" r:id="rId8"/>
    <sheet name="SDLC Usage" sheetId="7" state="visible" r:id="rId9"/>
    <sheet name="Risks" sheetId="8" state="visible" r:id="rId10"/>
    <sheet name="Action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<sst xmlns="http://schemas.openxmlformats.org/spreadsheetml/2006/main" count="388" uniqueCount="278">
  <si>
    <t xml:space="preserve">Account AI Adoption &amp; Agentic Repository - Reporting Workbook</t>
  </si>
  <si>
    <t xml:space="preserve">Template for a 10-project account | Version 1.0 | Sample data shown for projects P01 and P02 only</t>
  </si>
  <si>
    <t xml:space="preserve">SAMPLE DATA NOTICE: values for P01 and P02 are illustrative, to show format and calculation. They are not real results. Overwrite them with actuals before any use.</t>
  </si>
  <si>
    <t xml:space="preserve">How to use</t>
  </si>
  <si>
    <t xml:space="preserve">1.  Fill Projects (register), then Metrics, Trend, Agentic Repo and SDLC Usage for each project. Edit only yellow cells with blue text.</t>
  </si>
  <si>
    <t xml:space="preserve">2.  Dashboard, totals, status labels and charts are formulas; they update automatically. Do not overwrite them.</t>
  </si>
  <si>
    <t xml:space="preserve">3.  Always set the Data basis (Measured / Estimated / Survey). Report Measured and Estimated figures separately in any presentation.</t>
  </si>
  <si>
    <t xml:space="preserve">4.  Update Risks and Actions before each review; keep the same reporting period length for baseline and current.</t>
  </si>
  <si>
    <t xml:space="preserve">Colour code</t>
  </si>
  <si>
    <t xml:space="preserve">Input</t>
  </si>
  <si>
    <t xml:space="preserve">Blue text on yellow: you enter this</t>
  </si>
  <si>
    <t xml:space="preserve">Formula</t>
  </si>
  <si>
    <t xml:space="preserve">Black text: calculated</t>
  </si>
  <si>
    <t xml:space="preserve">Link</t>
  </si>
  <si>
    <t xml:space="preserve">Green text: pulled from another sheet</t>
  </si>
  <si>
    <t xml:space="preserve">Sheet index</t>
  </si>
  <si>
    <t xml:space="preserve">Dashboard</t>
  </si>
  <si>
    <t xml:space="preserve">Executive view: KPI cards, project scorecard, charts</t>
  </si>
  <si>
    <t xml:space="preserve">Projects</t>
  </si>
  <si>
    <t xml:space="preserve">Register: scope, team, tools, maturity, repo status</t>
  </si>
  <si>
    <t xml:space="preserve">Metrics</t>
  </si>
  <si>
    <t xml:space="preserve">Adoption and delivery metrics, baseline vs current, per project</t>
  </si>
  <si>
    <t xml:space="preserve">Trend</t>
  </si>
  <si>
    <t xml:space="preserve">Monthly trend and account roll-up</t>
  </si>
  <si>
    <t xml:space="preserve">Agentic Repo</t>
  </si>
  <si>
    <t xml:space="preserve">Rollout of instructions, rules, CI gate, agents; finding quality</t>
  </si>
  <si>
    <t xml:space="preserve">SDLC Usage</t>
  </si>
  <si>
    <t xml:space="preserve">Where AI is used across SDLC phases (heat map)</t>
  </si>
  <si>
    <t xml:space="preserve">Risks</t>
  </si>
  <si>
    <t xml:space="preserve">Risk register with likelihood x impact</t>
  </si>
  <si>
    <t xml:space="preserve">Actions</t>
  </si>
  <si>
    <t xml:space="preserve">Open actions and owners</t>
  </si>
  <si>
    <t xml:space="preserve">Data dictionary</t>
  </si>
  <si>
    <t xml:space="preserve">Metric</t>
  </si>
  <si>
    <t xml:space="preserve">Definition</t>
  </si>
  <si>
    <t xml:space="preserve">Source</t>
  </si>
  <si>
    <t xml:space="preserve">Frequency</t>
  </si>
  <si>
    <t xml:space="preserve">Caution</t>
  </si>
  <si>
    <t xml:space="preserve">Licensed / active users</t>
  </si>
  <si>
    <t xml:space="preserve">Licensed seats; active = used the AI tool at least once in the last 30 days</t>
  </si>
  <si>
    <t xml:space="preserve">Copilot usage reports (organisation admin)</t>
  </si>
  <si>
    <t xml:space="preserve">Monthly</t>
  </si>
  <si>
    <t xml:space="preserve">Active is not the same as effective use</t>
  </si>
  <si>
    <t xml:space="preserve">Adoption %</t>
  </si>
  <si>
    <t xml:space="preserve">Active users / licensed users</t>
  </si>
  <si>
    <t xml:space="preserve">Calculated</t>
  </si>
  <si>
    <t xml:space="preserve">Low value may mean licences unassigned, not low interest</t>
  </si>
  <si>
    <t xml:space="preserve">AI review coverage %</t>
  </si>
  <si>
    <t xml:space="preserve">Merged PRs that had an AI-assisted review / merged PRs</t>
  </si>
  <si>
    <t xml:space="preserve">Git platform export + review reports</t>
  </si>
  <si>
    <t xml:space="preserve">Define 'AI-assisted' once and keep it fixed</t>
  </si>
  <si>
    <t xml:space="preserve">Review rounds / PR</t>
  </si>
  <si>
    <t xml:space="preserve">Average 'changes requested' review cycles per merged PR</t>
  </si>
  <si>
    <t xml:space="preserve">pr_metrics.py (agentic repo) or Git export</t>
  </si>
  <si>
    <t xml:space="preserve">Quarterly</t>
  </si>
  <si>
    <t xml:space="preserve">Compare equal-length periods</t>
  </si>
  <si>
    <t xml:space="preserve">Comments / PR</t>
  </si>
  <si>
    <t xml:space="preserve">Average review comments per merged PR</t>
  </si>
  <si>
    <t xml:space="preserve">Git platform export</t>
  </si>
  <si>
    <t xml:space="preserve">Fewer is not always better; track by category</t>
  </si>
  <si>
    <t xml:space="preserve">PR cycle time</t>
  </si>
  <si>
    <t xml:space="preserve">Median hours from PR opened to merged</t>
  </si>
  <si>
    <t xml:space="preserve">Affected by holidays, release pressure</t>
  </si>
  <si>
    <t xml:space="preserve">Self-reported time saved</t>
  </si>
  <si>
    <t xml:space="preserve">Hours per week saved, developer survey</t>
  </si>
  <si>
    <t xml:space="preserve">Short survey</t>
  </si>
  <si>
    <t xml:space="preserve">Self-reported; label as Survey, never as Measured</t>
  </si>
  <si>
    <t xml:space="preserve">Finding acceptance %</t>
  </si>
  <si>
    <t xml:space="preserve">AI review findings accepted by a human / findings raised</t>
  </si>
  <si>
    <t xml:space="preserve">Shadow-mode log (agentic repo)</t>
  </si>
  <si>
    <t xml:space="preserve">Below ~50% suggests rules need tuning</t>
  </si>
  <si>
    <t xml:space="preserve">AI maturity (0-4)</t>
  </si>
  <si>
    <t xml:space="preserve">0 none | 1 individual experiments | 2 team practice with shared instructions | 3 in workflow with measured results | 4 governed and continuously improved</t>
  </si>
  <si>
    <t xml:space="preserve">Assessment with project lead</t>
  </si>
  <si>
    <t xml:space="preserve">Judgement-based; agree evidence for each level</t>
  </si>
  <si>
    <t xml:space="preserve">Repo readiness (0-4)</t>
  </si>
  <si>
    <t xml:space="preserve">Count of: instructions deployed, CI gate on, reviewer agent in use, critical paths defined</t>
  </si>
  <si>
    <t xml:space="preserve">Agentic Repo sheet</t>
  </si>
  <si>
    <t xml:space="preserve">Readiness is not value delivered</t>
  </si>
  <si>
    <t xml:space="preserve">Account AI Adoption &amp; Agentic Repository - Dashboard</t>
  </si>
  <si>
    <t xml:space="preserve">SAMPLE DATA: only P01 and P02 are filled, with illustrative values. Do not generalise from a small number of reporting projects.</t>
  </si>
  <si>
    <t xml:space="preserve">PROJECTS REPORTING</t>
  </si>
  <si>
    <t xml:space="preserve">ADOPTION</t>
  </si>
  <si>
    <t xml:space="preserve">AI-ASSISTED PR REVIEW</t>
  </si>
  <si>
    <t xml:space="preserve">REVIEW ROUNDS / PR</t>
  </si>
  <si>
    <t xml:space="preserve">PR CYCLE TIME</t>
  </si>
  <si>
    <t xml:space="preserve">FINDING ACCEPTANCE</t>
  </si>
  <si>
    <t xml:space="preserve">metrics submitted</t>
  </si>
  <si>
    <t xml:space="preserve">active / licensed users</t>
  </si>
  <si>
    <t xml:space="preserve">of merged PRs</t>
  </si>
  <si>
    <t xml:space="preserve">median change vs baseline</t>
  </si>
  <si>
    <t xml:space="preserve">AI findings accepted by humans</t>
  </si>
  <si>
    <t xml:space="preserve">Project scorecard</t>
  </si>
  <si>
    <t xml:space="preserve">Project</t>
  </si>
  <si>
    <t xml:space="preserve">AI review %</t>
  </si>
  <si>
    <t xml:space="preserve">Change in review rounds</t>
  </si>
  <si>
    <t xml:space="preserve">Change in PR cycle</t>
  </si>
  <si>
    <t xml:space="preserve">SDLC phases regular (of 7)</t>
  </si>
  <si>
    <t xml:space="preserve">Status</t>
  </si>
  <si>
    <t xml:space="preserve">Agentic repo</t>
  </si>
  <si>
    <t xml:space="preserve">Data basis</t>
  </si>
  <si>
    <t xml:space="preserve">Status thresholds (editable, management-defined)</t>
  </si>
  <si>
    <t xml:space="preserve">On track: adoption at or above</t>
  </si>
  <si>
    <t xml:space="preserve">Below the Watch threshold = Needs attention. On track also needs review rounds not increased. Not reporting = no licence data entered. Thresholds are a management choice, not an industry standard.</t>
  </si>
  <si>
    <t xml:space="preserve">Watch: adoption at or above</t>
  </si>
  <si>
    <t xml:space="preserve">Project register</t>
  </si>
  <si>
    <t xml:space="preserve">One row per project. P01-P02 are SAMPLE rows.</t>
  </si>
  <si>
    <t xml:space="preserve">ID</t>
  </si>
  <si>
    <t xml:space="preserve">Project name</t>
  </si>
  <si>
    <t xml:space="preserve">Product area</t>
  </si>
  <si>
    <t xml:space="preserve">Delivery stage</t>
  </si>
  <si>
    <t xml:space="preserve">Team size</t>
  </si>
  <si>
    <t xml:space="preserve">Dev</t>
  </si>
  <si>
    <t xml:space="preserve">QA</t>
  </si>
  <si>
    <t xml:space="preserve">BA / other</t>
  </si>
  <si>
    <t xml:space="preserve">Primary AI tools</t>
  </si>
  <si>
    <t xml:space="preserve">Agentic repo status</t>
  </si>
  <si>
    <t xml:space="preserve">Data owner / notes</t>
  </si>
  <si>
    <t xml:space="preserve">P01</t>
  </si>
  <si>
    <t xml:space="preserve">Project A - Viewer platform (SAMPLE)</t>
  </si>
  <si>
    <t xml:space="preserve">Diagnostic viewing</t>
  </si>
  <si>
    <t xml:space="preserve">Development</t>
  </si>
  <si>
    <t xml:space="preserve">GitHub Copilot: chat, agent mode, code review</t>
  </si>
  <si>
    <t xml:space="preserve">Deployed</t>
  </si>
  <si>
    <t xml:space="preserve">Lead architect</t>
  </si>
  <si>
    <t xml:space="preserve">P02</t>
  </si>
  <si>
    <t xml:space="preserve">Project B - Integration services (SAMPLE)</t>
  </si>
  <si>
    <t xml:space="preserve">Interoperability</t>
  </si>
  <si>
    <t xml:space="preserve">Maintenance</t>
  </si>
  <si>
    <t xml:space="preserve">GitHub Copilot: chat</t>
  </si>
  <si>
    <t xml:space="preserve">Pilot</t>
  </si>
  <si>
    <t xml:space="preserve">Delivery manager</t>
  </si>
  <si>
    <t xml:space="preserve">P03</t>
  </si>
  <si>
    <t xml:space="preserve">Not started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</si>
  <si>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</si>
  <si>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</si>
  <si>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</si>
  <si>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</si>
  <si>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</si>
  <si>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</si>
  <si>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</si>
  <si>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Total team size</t>
  </si>
  <si>
    <t xml:space="preserve">Adoption and delivery metrics</t>
  </si>
  <si>
    <t xml:space="preserve">CODE REVIEW</t>
  </si>
  <si>
    <t xml:space="preserve">FLOW</t>
  </si>
  <si>
    <t xml:space="preserve">DEVELOPER SURVEY (self-reported)</t>
  </si>
  <si>
    <t xml:space="preserve">Licensed users</t>
  </si>
  <si>
    <t xml:space="preserve">Active users (30d)</t>
  </si>
  <si>
    <t xml:space="preserve">PRs merged in period</t>
  </si>
  <si>
    <t xml:space="preserve">PRs with AI-assisted review</t>
  </si>
  <si>
    <t xml:space="preserve">Baseline review rounds / PR</t>
  </si>
  <si>
    <t xml:space="preserve">Current review rounds / PR</t>
  </si>
  <si>
    <t xml:space="preserve">Change in rounds</t>
  </si>
  <si>
    <t xml:space="preserve">Baseline comments / PR</t>
  </si>
  <si>
    <t xml:space="preserve">Current comments / PR</t>
  </si>
  <si>
    <t xml:space="preserve">Change in comments</t>
  </si>
  <si>
    <t xml:space="preserve">Baseline PR cycle (median h)</t>
  </si>
  <si>
    <t xml:space="preserve">Current PR cycle (median h)</t>
  </si>
  <si>
    <t xml:space="preserve">Respondents</t>
  </si>
  <si>
    <t xml:space="preserve">% reporting time saved</t>
  </si>
  <si>
    <t xml:space="preserve">Avg hours saved / week</t>
  </si>
  <si>
    <t xml:space="preserve">Source / notes</t>
  </si>
  <si>
    <t xml:space="preserve">Measured</t>
  </si>
  <si>
    <t xml:space="preserve">SAMPLE: PR export; baseline Apr-Jun, current Jul-Sep</t>
  </si>
  <si>
    <t xml:space="preserve">Estimated</t>
  </si>
  <si>
    <t xml:space="preserve">SAMPLE: lead estimate</t>
  </si>
  <si>
    <t xml:space="preserve">Account total / median</t>
  </si>
  <si>
    <t xml:space="preserve">Totals add reporting projects only. Medians cover reporting projects only. Survey totals are respondent-weighted averages and remain self-reported.</t>
  </si>
  <si>
    <t xml:space="preserve">Reconcile PRs merged and AI-assisted PRs with the Trend sheet for the same period.</t>
  </si>
  <si>
    <t xml:space="preserve">INPUT: one row per project per month (SAMPLE rows: P01, P02)</t>
  </si>
  <si>
    <t xml:space="preserve">ACCOUNT ROLL-UP (formulas)</t>
  </si>
  <si>
    <t xml:space="preserve">Project ID</t>
  </si>
  <si>
    <t xml:space="preserve">Month</t>
  </si>
  <si>
    <t xml:space="preserve">Licensed</t>
  </si>
  <si>
    <t xml:space="preserve">Active (30d)</t>
  </si>
  <si>
    <t xml:space="preserve">PRs merged</t>
  </si>
  <si>
    <t xml:space="preserve">AI-assisted PRs</t>
  </si>
  <si>
    <t xml:space="preserve">Avg review rounds</t>
  </si>
  <si>
    <t xml:space="preserve">Active</t>
  </si>
  <si>
    <t xml:space="preserve">Avg review rounds*</t>
  </si>
  <si>
    <t xml:space="preserve">* Simple average of project averages (not PR-weighted).</t>
  </si>
  <si>
    <t xml:space="preserve">Change the six month cells (yellow) to move the window.</t>
  </si>
  <si>
    <t xml:space="preserve">Agentic repository: rollout and finding quality</t>
  </si>
  <si>
    <t xml:space="preserve">ROLLOUT</t>
  </si>
  <si>
    <t xml:space="preserve">SHADOW-MODE FINDING QUALITY</t>
  </si>
  <si>
    <t xml:space="preserve">SCORE</t>
  </si>
  <si>
    <t xml:space="preserve">Instructions deployed</t>
  </si>
  <si>
    <t xml:space="preserve">Active (approved) rules</t>
  </si>
  <si>
    <t xml:space="preserve">Seed rules awaiting approval</t>
  </si>
  <si>
    <t xml:space="preserve">Rules mined from PR comments</t>
  </si>
  <si>
    <t xml:space="preserve">Last rule-mining run</t>
  </si>
  <si>
    <t xml:space="preserve">Deterministic gate in CI</t>
  </si>
  <si>
    <t xml:space="preserve">Reviewer agent used</t>
  </si>
  <si>
    <t xml:space="preserve">Critical paths defined</t>
  </si>
  <si>
    <t xml:space="preserve">Findings raised</t>
  </si>
  <si>
    <t xml:space="preserve">Findings accepted</t>
  </si>
  <si>
    <t xml:space="preserve">Acceptance %</t>
  </si>
  <si>
    <t xml:space="preserve">False positives reported</t>
  </si>
  <si>
    <t xml:space="preserve">Readiness (0-4)</t>
  </si>
  <si>
    <t xml:space="preserve">Notes</t>
  </si>
  <si>
    <t xml:space="preserve">Yes</t>
  </si>
  <si>
    <t xml:space="preserve">SAMPLE</t>
  </si>
  <si>
    <t xml:space="preserve">Partial</t>
  </si>
  <si>
    <t xml:space="preserve">No</t>
  </si>
  <si>
    <t xml:space="preserve">Account total</t>
  </si>
  <si>
    <t xml:space="preserve">Readiness = count of: instructions Yes, CI gate Yes, reviewer agent Yes, critical paths Yes. Acceptance % = findings a human accepted / findings raised.</t>
  </si>
  <si>
    <t xml:space="preserve">If projects share one rules repository, rule counts overlap: report the shared count once.</t>
  </si>
  <si>
    <t xml:space="preserve">AI usage across SDLC phases</t>
  </si>
  <si>
    <t xml:space="preserve">None = not used | Pilot = trial by some people | Regular = standard practice in the team. SAMPLE rows P01-P02.</t>
  </si>
  <si>
    <t xml:space="preserve">Requirements / planning</t>
  </si>
  <si>
    <t xml:space="preserve">Design / architecture</t>
  </si>
  <si>
    <t xml:space="preserve">Coding</t>
  </si>
  <si>
    <t xml:space="preserve">Code review</t>
  </si>
  <si>
    <t xml:space="preserve">Testing</t>
  </si>
  <si>
    <t xml:space="preserve">Documentation</t>
  </si>
  <si>
    <t xml:space="preserve">Release / support</t>
  </si>
  <si>
    <t xml:space="preserve">Phases in regular use</t>
  </si>
  <si>
    <t xml:space="preserve">Coverage %</t>
  </si>
  <si>
    <t xml:space="preserve">Regular</t>
  </si>
  <si>
    <t xml:space="preserve">None</t>
  </si>
  <si>
    <t xml:space="preserve">Projects in regular use</t>
  </si>
  <si>
    <t xml:space="preserve">Projects in pilot</t>
  </si>
  <si>
    <t xml:space="preserve">Risk register</t>
  </si>
  <si>
    <t xml:space="preserve">Starting set; adapt to the account's quality system. Likelihood, impact, owner, status and review date are inputs. Rating = likelihood x impact (1-3 each).</t>
  </si>
  <si>
    <t xml:space="preserve">#</t>
  </si>
  <si>
    <t xml:space="preserve">Risk</t>
  </si>
  <si>
    <t xml:space="preserve">Why it matters</t>
  </si>
  <si>
    <t xml:space="preserve">Control in place or planned</t>
  </si>
  <si>
    <t xml:space="preserve">Likelihood</t>
  </si>
  <si>
    <t xml:space="preserve">Impact</t>
  </si>
  <si>
    <t xml:space="preserve">Score</t>
  </si>
  <si>
    <t xml:space="preserve">Rating</t>
  </si>
  <si>
    <t xml:space="preserve">Owner</t>
  </si>
  <si>
    <t xml:space="preserve">Next review</t>
  </si>
  <si>
    <t xml:space="preserve">AI review reports wrong or non-existent issues</t>
  </si>
  <si>
    <t xml:space="preserve">Wasted effort, loss of trust</t>
  </si>
  <si>
    <t xml:space="preserve">Findings must cite a rule and quote code; excerpts are verified against the file; unverified findings are excluded from the score.</t>
  </si>
  <si>
    <t xml:space="preserve">Medium</t>
  </si>
  <si>
    <t xml:space="preserve">Low</t>
  </si>
  <si>
    <t xml:space="preserve">Open</t>
  </si>
  <si>
    <t xml:space="preserve">AI review misses a real defect</t>
  </si>
  <si>
    <t xml:space="preserve">False assurance</t>
  </si>
  <si>
    <t xml:space="preserve">AI review is advisory; human approval always required; deterministic checks and existing analysers (e.g. SonarQube) stay in place.</t>
  </si>
  <si>
    <t xml:space="preserve">High</t>
  </si>
  <si>
    <t xml:space="preserve">Patient data exposed to AI tools, prompts or logs</t>
  </si>
  <si>
    <t xml:space="preserve">Privacy and regulatory exposure</t>
  </si>
  <si>
    <t xml:space="preserve">Rule bans patient data in code, logs, tests; synthetic data only; AI tool data-handling terms confirmed by security.</t>
  </si>
  <si>
    <t xml:space="preserve">Insufficient scrutiny of clinically critical code</t>
  </si>
  <si>
    <t xml:space="preserve">Patient-safety impact</t>
  </si>
  <si>
    <t xml:space="preserve">Critical paths flagged automatically; mandatory architect sign-off and test evidence.</t>
  </si>
  <si>
    <t xml:space="preserve">Standards drift or become stale</t>
  </si>
  <si>
    <t xml:space="preserve">Inconsistent code, false findings</t>
  </si>
  <si>
    <t xml:space="preserve">Architect approval of every rule; review-by dates; false-positive tracking; monthly curation.</t>
  </si>
  <si>
    <t xml:space="preserve">Uneven adoption across projects</t>
  </si>
  <si>
    <t xml:space="preserve">Benefits concentrated in a few teams</t>
  </si>
  <si>
    <t xml:space="preserve">Common baseline metrics; maturity levels; shared repository; per-project review.</t>
  </si>
  <si>
    <t xml:space="preserve">Misleading metrics</t>
  </si>
  <si>
    <t xml:space="preserve">Wrong decisions</t>
  </si>
  <si>
    <t xml:space="preserve">Measured vs estimated separated; equal-length periods; no per-developer statistics.</t>
  </si>
  <si>
    <t xml:space="preserve">AI-assisted changes not traceable in quality system</t>
  </si>
  <si>
    <t xml:space="preserve">Audit findings</t>
  </si>
  <si>
    <t xml:space="preserve">Agree documentation approach with quality/regulatory; keep reviews and approvals in PR history.</t>
  </si>
  <si>
    <t xml:space="preserve">Actions and next steps</t>
  </si>
  <si>
    <t xml:space="preserve">Owners and dates are inputs; none are pre-assigned.</t>
  </si>
  <si>
    <t xml:space="preserve">Action</t>
  </si>
  <si>
    <t xml:space="preserve">Workstream</t>
  </si>
  <si>
    <t xml:space="preserve">Due date</t>
  </si>
  <si>
    <t xml:space="preserve">Collect baseline PR metrics for all 10 projects (same period length)</t>
  </si>
  <si>
    <t xml:space="preserve">Measurement</t>
  </si>
  <si>
    <t xml:space="preserve">Architects complete design constraints and approve or remove seed rules</t>
  </si>
  <si>
    <t xml:space="preserve">Agree the critical-path list per project</t>
  </si>
  <si>
    <t xml:space="preserve">Governance</t>
  </si>
  <si>
    <t xml:space="preserve">Confirm AI tool data-handling terms with security and privacy</t>
  </si>
  <si>
    <t xml:space="preserve">Run reviewer agent in advisory (shadow) mode and log accepted/rejected findings</t>
  </si>
  <si>
    <t xml:space="preserve">Enable deterministic CI gate once false-positive rate is acceptable</t>
  </si>
  <si>
    <t xml:space="preserve">Agree reporting cadence and metric definitions with the customer</t>
  </si>
  <si>
    <t xml:space="preserve">Reporting</t>
  </si>
  <si>
    <t xml:space="preserve">Agree how AI-assisted changes are documented in the quality system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</si>
</sst>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%"/>
    <numFmt numFmtId="167" formatCode="\+0.0%;\-0.0%;0.0%"/>
    <numFmt numFmtId="168" formatCode="General"/>
    <numFmt numFmtId="169" formatCode="0.0"/>
    <numFmt numFmtId="170" formatCode="mmm\ yy"/>
    <numFmt numFmtId="171" formatCode="0.00"/>
    <numFmt numFmtId="172" formatCode="dd\ mmm\ 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6B7C85"/>
      <name val="Arial"/>
      <family val="0"/>
      <charset val="1"/>
    </font>
    <font>
      <b val="true"/>
      <sz val="10"/>
      <color rgb="FFB3261E"/>
      <name val="Arial"/>
      <family val="0"/>
      <charset val="1"/>
    </font>
    <font>
      <b val="true"/>
      <sz val="12"/>
      <color rgb="FF0B2A3C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B3261E"/>
      <name val="Arial"/>
      <family val="0"/>
      <charset val="1"/>
    </font>
    <font>
      <b val="true"/>
      <sz val="8"/>
      <color rgb="FF6B7C85"/>
      <name val="Arial"/>
      <family val="0"/>
      <charset val="1"/>
    </font>
    <font>
      <b val="true"/>
      <sz val="24"/>
      <color rgb="FF0B2A3C"/>
      <name val="Arial"/>
      <family val="0"/>
      <charset val="1"/>
    </font>
    <font>
      <sz val="8"/>
      <color rgb="FF6B7C8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B2A3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B2A3C"/>
        <bgColor rgb="FF003300"/>
      </patternFill>
    </fill>
    <fill>
      <patternFill patternType="solid">
        <fgColor rgb="FFF6D3D0"/>
        <bgColor rgb="FFD9D9D9"/>
      </patternFill>
    </fill>
    <fill>
      <patternFill patternType="solid">
        <fgColor rgb="FFFFF8D6"/>
        <bgColor rgb="FFFCEBC8"/>
      </patternFill>
    </fill>
    <fill>
      <patternFill patternType="solid">
        <fgColor rgb="FFEAF1F3"/>
        <bgColor rgb="FFE3E8EA"/>
      </patternFill>
    </fill>
    <fill>
      <patternFill patternType="solid">
        <fgColor rgb="FF1F6F78"/>
        <bgColor rgb="FF1E7B4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8"/>
      </left>
      <right style="thin">
        <color rgb="FFC9D3D8"/>
      </right>
      <top style="thin">
        <color rgb="FFC9D3D8"/>
      </top>
      <bottom style="thin">
        <color rgb="FFC9D3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1E7B46"/>
      </font>
    </dxf>
    <dxf>
      <font>
        <name val="Arial"/>
        <charset val="1"/>
        <family val="0"/>
        <b val="1"/>
        <color rgb="FFB3261E"/>
      </font>
    </dxf>
    <dxf>
      <fill>
        <patternFill>
          <bgColor rgb="FFD5EFE0"/>
        </patternFill>
      </fill>
    </dxf>
    <dxf>
      <fill>
        <patternFill>
          <bgColor rgb="FFFCEBC8"/>
        </patternFill>
      </fill>
    </dxf>
    <dxf>
      <fill>
        <patternFill>
          <bgColor rgb="FFF6D3D0"/>
        </patternFill>
      </fill>
    </dxf>
    <dxf>
      <fill>
        <patternFill>
          <bgColor rgb="FFE3E8EA"/>
        </patternFill>
      </fill>
    </dxf>
    <dxf>
      <fill>
        <patternFill>
          <bgColor rgb="FFBFE3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78"/>
      <rgbColor rgb="FF9FB4BC"/>
      <rgbColor rgb="FF878787"/>
      <rgbColor rgb="FF9999FF"/>
      <rgbColor rgb="FF993366"/>
      <rgbColor rgb="FFFFF8D6"/>
      <rgbColor rgb="FFEAF1F3"/>
      <rgbColor rgb="FF660066"/>
      <rgbColor rgb="FFFF8080"/>
      <rgbColor rgb="FF0563C1"/>
      <rgbColor rgb="FFC9D3D8"/>
      <rgbColor rgb="FF000080"/>
      <rgbColor rgb="FFFF00FF"/>
      <rgbColor rgb="FFFFFF00"/>
      <rgbColor rgb="FF00FFFF"/>
      <rgbColor rgb="FF800080"/>
      <rgbColor rgb="FF800000"/>
      <rgbColor rgb="FF1E7B46"/>
      <rgbColor rgb="FF0000FF"/>
      <rgbColor rgb="FF00CCFF"/>
      <rgbColor rgb="FFE3E8EA"/>
      <rgbColor rgb="FFD5EFE0"/>
      <rgbColor rgb="FFFCEBC8"/>
      <rgbColor rgb="FFBFE3CC"/>
      <rgbColor rgb="FFFF99CC"/>
      <rgbColor rgb="FFD9D9D9"/>
      <rgbColor rgb="FFF6D3D0"/>
      <rgbColor rgb="FF3366FF"/>
      <rgbColor rgb="FF33CCCC"/>
      <rgbColor rgb="FF99CC00"/>
      <rgbColor rgb="FFFFCC00"/>
      <rgbColor rgb="FFE8A33D"/>
      <rgbColor rgb="FFFF6600"/>
      <rgbColor rgb="FF6B7C85"/>
      <rgbColor rgb="FF969696"/>
      <rgbColor rgb="FF0B2A3C"/>
      <rgbColor rgb="FF339966"/>
      <rgbColor rgb="FF003300"/>
      <rgbColor rgb="FF333300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Adoption % by project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Metrics!F4</c:f>
              <c:strCache>
                <c:ptCount val="1"/>
                <c:pt idx="0">
                  <c:v>Adoption %</c:v>
                </c:pt>
              </c:strCache>
            </c:strRef>
          </c:tx>
          <c:spPr>
            <a:solidFill>
              <a:srgbClr val="1f6f7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Metrics!$A$5:$A$14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Metrics!$F$5:$F$14</c:f>
              <c:numCache>
                <c:formatCode>0%</c:formatCode>
                <c:ptCount val="10"/>
                <c:pt idx="0">
                  <c:v>0.785714285714286</c:v>
                </c:pt>
                <c:pt idx="1">
                  <c:v>0.555555555555556</c:v>
                </c:pt>
              </c:numCache>
            </c:numRef>
          </c:val>
        </c:ser>
        <c:gapWidth val="150"/>
        <c:overlap val="0"/>
        <c:axId val="59342793"/>
        <c:axId val="25808468"/>
      </c:barChart>
      <c:catAx>
        <c:axId val="593427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08468"/>
        <c:crosses val="autoZero"/>
        <c:auto val="1"/>
        <c:lblAlgn val="ctr"/>
        <c:lblOffset val="100"/>
        <c:noMultiLvlLbl val="0"/>
      </c:catAx>
      <c:valAx>
        <c:axId val="2580846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427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Review rounds per PR: baseline vs current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Metrics!J4</c:f>
              <c:strCache>
                <c:ptCount val="1"/>
                <c:pt idx="0">
                  <c:v>Baseline review rounds / PR</c:v>
                </c:pt>
              </c:strCache>
            </c:strRef>
          </c:tx>
          <c:spPr>
            <a:solidFill>
              <a:srgbClr val="9fb4b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Metrics!$A$5:$A$14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Metrics!$J$5:$J$14</c:f>
              <c:numCache>
                <c:formatCode>0.0</c:formatCode>
                <c:ptCount val="10"/>
                <c:pt idx="0">
                  <c:v>2.4</c:v>
                </c:pt>
                <c:pt idx="1">
                  <c:v>2.1</c:v>
                </c:pt>
              </c:numCache>
            </c:numRef>
          </c:val>
        </c:ser>
        <c:ser>
          <c:idx val="1"/>
          <c:order val="1"/>
          <c:tx>
            <c:strRef>
              <c:f>Metrics!K4</c:f>
              <c:strCache>
                <c:ptCount val="1"/>
                <c:pt idx="0">
                  <c:v>Current review rounds / PR</c:v>
                </c:pt>
              </c:strCache>
            </c:strRef>
          </c:tx>
          <c:spPr>
            <a:solidFill>
              <a:srgbClr val="1f6f7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Metrics!$A$5:$A$14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Metrics!$K$5:$K$14</c:f>
              <c:numCache>
                <c:formatCode>0.0</c:formatCode>
                <c:ptCount val="10"/>
                <c:pt idx="0">
                  <c:v>2.1</c:v>
                </c:pt>
                <c:pt idx="1">
                  <c:v>2</c:v>
                </c:pt>
              </c:numCache>
            </c:numRef>
          </c:val>
        </c:ser>
        <c:gapWidth val="150"/>
        <c:overlap val="0"/>
        <c:axId val="71321857"/>
        <c:axId val="25261753"/>
      </c:barChart>
      <c:catAx>
        <c:axId val="713218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61753"/>
        <c:crosses val="autoZero"/>
        <c:auto val="1"/>
        <c:lblAlgn val="ctr"/>
        <c:lblOffset val="100"/>
        <c:noMultiLvlLbl val="0"/>
      </c:catAx>
      <c:valAx>
        <c:axId val="2526175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218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Account trend: adoption and AI-assisted PR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Trend!N4</c:f>
              <c:strCache>
                <c:ptCount val="1"/>
                <c:pt idx="0">
                  <c:v>Adoption %</c:v>
                </c:pt>
              </c:strCache>
            </c:strRef>
          </c:tx>
          <c:spPr>
            <a:solidFill>
              <a:srgbClr val="1f6f78"/>
            </a:solidFill>
            <a:ln w="28080">
              <a:solidFill>
                <a:srgbClr val="1f6f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Trend!$K$5:$K$10</c:f>
              <c:strCache>
                <c:ptCount val="6"/>
                <c:pt idx="0">
                  <c:v>Apr 26</c:v>
                </c:pt>
                <c:pt idx="1">
                  <c:v>May 26</c:v>
                </c:pt>
                <c:pt idx="2">
                  <c:v>Jun 26</c:v>
                </c:pt>
                <c:pt idx="3">
                  <c:v>Jul 26</c:v>
                </c:pt>
                <c:pt idx="4">
                  <c:v>Aug 26</c:v>
                </c:pt>
                <c:pt idx="5">
                  <c:v>Sep 26</c:v>
                </c:pt>
              </c:strCache>
            </c:strRef>
          </c:cat>
          <c:val>
            <c:numRef>
              <c:f>Trend!$N$5:$N$10</c:f>
              <c:numCache>
                <c:formatCode>0%</c:formatCode>
                <c:ptCount val="6"/>
                <c:pt idx="0">
                  <c:v>0.294117647058824</c:v>
                </c:pt>
                <c:pt idx="1">
                  <c:v>0.391304347826087</c:v>
                </c:pt>
                <c:pt idx="2">
                  <c:v>0.521739130434783</c:v>
                </c:pt>
                <c:pt idx="3">
                  <c:v>0.608695652173913</c:v>
                </c:pt>
                <c:pt idx="4">
                  <c:v>0.652173913043478</c:v>
                </c:pt>
                <c:pt idx="5">
                  <c:v>0.695652173913044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Trend!Q4</c:f>
              <c:strCache>
                <c:ptCount val="1"/>
                <c:pt idx="0">
                  <c:v>AI review %</c:v>
                </c:pt>
              </c:strCache>
            </c:strRef>
          </c:tx>
          <c:spPr>
            <a:solidFill>
              <a:srgbClr val="e8a33d"/>
            </a:solidFill>
            <a:ln w="28080">
              <a:solidFill>
                <a:srgbClr val="e8a3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Trend!$K$5:$K$10</c:f>
              <c:strCache>
                <c:ptCount val="6"/>
                <c:pt idx="0">
                  <c:v>Apr 26</c:v>
                </c:pt>
                <c:pt idx="1">
                  <c:v>May 26</c:v>
                </c:pt>
                <c:pt idx="2">
                  <c:v>Jun 26</c:v>
                </c:pt>
                <c:pt idx="3">
                  <c:v>Jul 26</c:v>
                </c:pt>
                <c:pt idx="4">
                  <c:v>Aug 26</c:v>
                </c:pt>
                <c:pt idx="5">
                  <c:v>Sep 26</c:v>
                </c:pt>
              </c:strCache>
            </c:strRef>
          </c:cat>
          <c:val>
            <c:numRef>
              <c:f>Trend!$Q$5:$Q$10</c:f>
              <c:numCache>
                <c:formatCode>0%</c:formatCode>
                <c:ptCount val="6"/>
                <c:pt idx="0">
                  <c:v>0</c:v>
                </c:pt>
                <c:pt idx="1">
                  <c:v>0.0333333333333333</c:v>
                </c:pt>
                <c:pt idx="2">
                  <c:v>0.114754098360656</c:v>
                </c:pt>
                <c:pt idx="3">
                  <c:v>0.25</c:v>
                </c:pt>
                <c:pt idx="4">
                  <c:v>0.323076923076923</c:v>
                </c:pt>
                <c:pt idx="5">
                  <c:v>0.4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012759"/>
        <c:axId val="84469131"/>
      </c:lineChart>
      <c:catAx>
        <c:axId val="16012759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69131"/>
        <c:crosses val="autoZero"/>
        <c:auto val="1"/>
        <c:lblAlgn val="ctr"/>
        <c:lblOffset val="100"/>
        <c:noMultiLvlLbl val="0"/>
      </c:catAx>
      <c:valAx>
        <c:axId val="8446913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127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Projects with regular AI use, by SDLC phase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e8a33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'SDLC Usage'!$C$4:$I$4</c:f>
              <c:strCache>
                <c:ptCount val="7"/>
                <c:pt idx="0">
                  <c:v>Requirements / planning</c:v>
                </c:pt>
                <c:pt idx="1">
                  <c:v>Design / architecture</c:v>
                </c:pt>
                <c:pt idx="2">
                  <c:v>Coding</c:v>
                </c:pt>
                <c:pt idx="3">
                  <c:v>Code review</c:v>
                </c:pt>
                <c:pt idx="4">
                  <c:v>Testing</c:v>
                </c:pt>
                <c:pt idx="5">
                  <c:v>Documentation</c:v>
                </c:pt>
                <c:pt idx="6">
                  <c:v>Release / support</c:v>
                </c:pt>
              </c:strCache>
            </c:strRef>
          </c:cat>
          <c:val>
            <c:numRef>
              <c:f>'SDLC Usage'!$C$15:$I$15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50985630"/>
        <c:axId val="66137558"/>
      </c:barChart>
      <c:catAx>
        <c:axId val="509856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37558"/>
        <c:crosses val="autoZero"/>
        <c:auto val="1"/>
        <c:lblAlgn val="ctr"/>
        <c:lblOffset val="100"/>
        <c:noMultiLvlLbl val="0"/>
      </c:catAx>
      <c:valAx>
        <c:axId val="6613755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85630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0</xdr:rowOff>
    </xdr:from>
    <xdr:to>
      <xdr:col>4</xdr:col>
      <xdr:colOff>293400</xdr:colOff>
      <xdr:row>42</xdr:row>
      <xdr:rowOff>32760</xdr:rowOff>
    </xdr:to>
    <xdr:graphicFrame>
      <xdr:nvGraphicFramePr>
        <xdr:cNvPr id="0" name="Chart 1"/>
        <xdr:cNvGraphicFramePr/>
      </xdr:nvGraphicFramePr>
      <xdr:xfrm>
        <a:off x="0" y="587700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28</xdr:row>
      <xdr:rowOff>0</xdr:rowOff>
    </xdr:from>
    <xdr:to>
      <xdr:col>10</xdr:col>
      <xdr:colOff>716400</xdr:colOff>
      <xdr:row>42</xdr:row>
      <xdr:rowOff>32760</xdr:rowOff>
    </xdr:to>
    <xdr:graphicFrame>
      <xdr:nvGraphicFramePr>
        <xdr:cNvPr id="1" name="Chart 2"/>
        <xdr:cNvGraphicFramePr/>
      </xdr:nvGraphicFramePr>
      <xdr:xfrm>
        <a:off x="6202800" y="587700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44</xdr:row>
      <xdr:rowOff>0</xdr:rowOff>
    </xdr:from>
    <xdr:to>
      <xdr:col>4</xdr:col>
      <xdr:colOff>293400</xdr:colOff>
      <xdr:row>58</xdr:row>
      <xdr:rowOff>32400</xdr:rowOff>
    </xdr:to>
    <xdr:graphicFrame>
      <xdr:nvGraphicFramePr>
        <xdr:cNvPr id="2" name="Chart 3"/>
        <xdr:cNvGraphicFramePr/>
      </xdr:nvGraphicFramePr>
      <xdr:xfrm>
        <a:off x="0" y="892476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44</xdr:row>
      <xdr:rowOff>0</xdr:rowOff>
    </xdr:from>
    <xdr:to>
      <xdr:col>10</xdr:col>
      <xdr:colOff>716400</xdr:colOff>
      <xdr:row>58</xdr:row>
      <xdr:rowOff>32400</xdr:rowOff>
    </xdr:to>
    <xdr:graphicFrame>
      <xdr:nvGraphicFramePr>
        <xdr:cNvPr id="3" name="Chart 4"/>
        <xdr:cNvGraphicFramePr/>
      </xdr:nvGraphicFramePr>
      <xdr:xfrm>
        <a:off x="6202800" y="892476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I_Adoption_Account_Workbook.xlsx" TargetMode="External"/><Relationship Id="rId2" Type="http://schemas.openxmlformats.org/officeDocument/2006/relationships/hyperlink" Target="AI_Adoption_Account_Workbook.xlsx" TargetMode="External"/><Relationship Id="rId3" Type="http://schemas.openxmlformats.org/officeDocument/2006/relationships/hyperlink" Target="AI_Adoption_Account_Workbook.xlsx" TargetMode="External"/><Relationship Id="rId4" Type="http://schemas.openxmlformats.org/officeDocument/2006/relationships/hyperlink" Target="AI_Adoption_Account_Workbook.xlsx" TargetMode="External"/><Relationship Id="rId5" Type="http://schemas.openxmlformats.org/officeDocument/2006/relationships/hyperlink" Target="AI_Adoption_Account_Workbook.xlsx" TargetMode="External"/><Relationship Id="rId6" Type="http://schemas.openxmlformats.org/officeDocument/2006/relationships/hyperlink" Target="AI_Adoption_Account_Workbook.xlsx" TargetMode="External"/><Relationship Id="rId7" Type="http://schemas.openxmlformats.org/officeDocument/2006/relationships/hyperlink" Target="AI_Adoption_Account_Workbook.xlsx" TargetMode="External"/><Relationship Id="rId8" Type="http://schemas.openxmlformats.org/officeDocument/2006/relationships/hyperlink" Target="AI_Adoption_Account_Workbook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A3C"/>
    <pageSetUpPr fitToPage="true"/>
  </sheetPr>
  <dimension ref="A1:F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</row>
    <row r="5" customFormat="false" ht="31.5" hidden="false" customHeight="true" outlineLevel="0" collapsed="false">
      <c r="A5" s="3" t="s">
        <v>2</v>
      </c>
      <c r="B5" s="3"/>
      <c r="C5" s="3"/>
      <c r="D5" s="3"/>
      <c r="E5" s="3"/>
    </row>
    <row r="7" customFormat="false" ht="15" hidden="false" customHeight="false" outlineLevel="0" collapsed="false">
      <c r="A7" s="4" t="s">
        <v>3</v>
      </c>
    </row>
    <row r="8" customFormat="false" ht="27.75" hidden="false" customHeight="true" outlineLevel="0" collapsed="false">
      <c r="A8" s="5" t="s">
        <v>4</v>
      </c>
      <c r="B8" s="5"/>
      <c r="C8" s="5"/>
      <c r="D8" s="5"/>
      <c r="E8" s="5"/>
    </row>
    <row r="9" customFormat="false" ht="27.75" hidden="false" customHeight="true" outlineLevel="0" collapsed="false">
      <c r="A9" s="5" t="s">
        <v>5</v>
      </c>
      <c r="B9" s="5"/>
      <c r="C9" s="5"/>
      <c r="D9" s="5"/>
      <c r="E9" s="5"/>
    </row>
    <row r="10" customFormat="false" ht="27.75" hidden="false" customHeight="true" outlineLevel="0" collapsed="false">
      <c r="A10" s="5" t="s">
        <v>6</v>
      </c>
      <c r="B10" s="5"/>
      <c r="C10" s="5"/>
      <c r="D10" s="5"/>
      <c r="E10" s="5"/>
    </row>
    <row r="11" customFormat="false" ht="27.75" hidden="false" customHeight="true" outlineLevel="0" collapsed="false">
      <c r="A11" s="5" t="s">
        <v>7</v>
      </c>
      <c r="B11" s="5"/>
      <c r="C11" s="5"/>
      <c r="D11" s="5"/>
      <c r="E11" s="5"/>
    </row>
    <row r="13" customFormat="false" ht="15" hidden="false" customHeight="false" outlineLevel="0" collapsed="false">
      <c r="A13" s="4" t="s">
        <v>8</v>
      </c>
    </row>
    <row r="14" customFormat="false" ht="15" hidden="false" customHeight="false" outlineLevel="0" collapsed="false">
      <c r="A14" s="6" t="s">
        <v>9</v>
      </c>
      <c r="B14" s="7" t="s">
        <v>10</v>
      </c>
    </row>
    <row r="15" customFormat="false" ht="15" hidden="false" customHeight="false" outlineLevel="0" collapsed="false">
      <c r="A15" s="8" t="s">
        <v>11</v>
      </c>
      <c r="B15" s="7" t="s">
        <v>12</v>
      </c>
    </row>
    <row r="16" customFormat="false" ht="15" hidden="false" customHeight="false" outlineLevel="0" collapsed="false">
      <c r="A16" s="9" t="s">
        <v>13</v>
      </c>
      <c r="B16" s="7" t="s">
        <v>14</v>
      </c>
    </row>
    <row r="18" customFormat="false" ht="15" hidden="false" customHeight="false" outlineLevel="0" collapsed="false">
      <c r="A18" s="4" t="s">
        <v>15</v>
      </c>
    </row>
    <row r="19" customFormat="false" ht="15" hidden="false" customHeight="false" outlineLevel="0" collapsed="false">
      <c r="A19" s="10" t="s">
        <v>16</v>
      </c>
      <c r="B19" s="11" t="s">
        <v>17</v>
      </c>
      <c r="C19" s="11"/>
      <c r="D19" s="11"/>
      <c r="E19" s="11"/>
    </row>
    <row r="20" customFormat="false" ht="15" hidden="false" customHeight="false" outlineLevel="0" collapsed="false">
      <c r="A20" s="10" t="s">
        <v>18</v>
      </c>
      <c r="B20" s="11" t="s">
        <v>19</v>
      </c>
      <c r="C20" s="11"/>
      <c r="D20" s="11"/>
      <c r="E20" s="11"/>
    </row>
    <row r="21" customFormat="false" ht="15" hidden="false" customHeight="false" outlineLevel="0" collapsed="false">
      <c r="A21" s="10" t="s">
        <v>20</v>
      </c>
      <c r="B21" s="11" t="s">
        <v>21</v>
      </c>
      <c r="C21" s="11"/>
      <c r="D21" s="11"/>
      <c r="E21" s="11"/>
    </row>
    <row r="22" customFormat="false" ht="15" hidden="false" customHeight="false" outlineLevel="0" collapsed="false">
      <c r="A22" s="10" t="s">
        <v>22</v>
      </c>
      <c r="B22" s="11" t="s">
        <v>23</v>
      </c>
      <c r="C22" s="11"/>
      <c r="D22" s="11"/>
      <c r="E22" s="11"/>
    </row>
    <row r="23" customFormat="false" ht="15" hidden="false" customHeight="false" outlineLevel="0" collapsed="false">
      <c r="A23" s="10" t="s">
        <v>24</v>
      </c>
      <c r="B23" s="11" t="s">
        <v>25</v>
      </c>
      <c r="C23" s="11"/>
      <c r="D23" s="11"/>
      <c r="E23" s="11"/>
    </row>
    <row r="24" customFormat="false" ht="15" hidden="false" customHeight="false" outlineLevel="0" collapsed="false">
      <c r="A24" s="10" t="s">
        <v>26</v>
      </c>
      <c r="B24" s="11" t="s">
        <v>27</v>
      </c>
      <c r="C24" s="11"/>
      <c r="D24" s="11"/>
      <c r="E24" s="11"/>
    </row>
    <row r="25" customFormat="false" ht="15" hidden="false" customHeight="false" outlineLevel="0" collapsed="false">
      <c r="A25" s="10" t="s">
        <v>28</v>
      </c>
      <c r="B25" s="11" t="s">
        <v>29</v>
      </c>
      <c r="C25" s="11"/>
      <c r="D25" s="11"/>
      <c r="E25" s="11"/>
    </row>
    <row r="26" customFormat="false" ht="15" hidden="false" customHeight="false" outlineLevel="0" collapsed="false">
      <c r="A26" s="10" t="s">
        <v>30</v>
      </c>
      <c r="B26" s="11" t="s">
        <v>31</v>
      </c>
      <c r="C26" s="11"/>
      <c r="D26" s="11"/>
      <c r="E26" s="11"/>
    </row>
    <row r="28" customFormat="false" ht="15" hidden="false" customHeight="false" outlineLevel="0" collapsed="false">
      <c r="A28" s="4" t="s">
        <v>32</v>
      </c>
    </row>
    <row r="29" customFormat="false" ht="39.75" hidden="false" customHeight="true" outlineLevel="0" collapsed="false">
      <c r="A29" s="12" t="s">
        <v>33</v>
      </c>
      <c r="B29" s="12" t="s">
        <v>34</v>
      </c>
      <c r="C29" s="12" t="s">
        <v>35</v>
      </c>
      <c r="D29" s="12" t="s">
        <v>36</v>
      </c>
      <c r="E29" s="12" t="s">
        <v>37</v>
      </c>
    </row>
    <row r="30" customFormat="false" ht="39.75" hidden="false" customHeight="true" outlineLevel="0" collapsed="false">
      <c r="A30" s="13" t="s">
        <v>38</v>
      </c>
      <c r="B30" s="14" t="s">
        <v>39</v>
      </c>
      <c r="C30" s="14" t="s">
        <v>40</v>
      </c>
      <c r="D30" s="14" t="s">
        <v>41</v>
      </c>
      <c r="E30" s="14" t="s">
        <v>42</v>
      </c>
    </row>
    <row r="31" customFormat="false" ht="39.75" hidden="false" customHeight="true" outlineLevel="0" collapsed="false">
      <c r="A31" s="13" t="s">
        <v>43</v>
      </c>
      <c r="B31" s="14" t="s">
        <v>44</v>
      </c>
      <c r="C31" s="14" t="s">
        <v>45</v>
      </c>
      <c r="D31" s="14" t="s">
        <v>41</v>
      </c>
      <c r="E31" s="14" t="s">
        <v>46</v>
      </c>
    </row>
    <row r="32" customFormat="false" ht="39.75" hidden="false" customHeight="true" outlineLevel="0" collapsed="false">
      <c r="A32" s="13" t="s">
        <v>47</v>
      </c>
      <c r="B32" s="14" t="s">
        <v>48</v>
      </c>
      <c r="C32" s="14" t="s">
        <v>49</v>
      </c>
      <c r="D32" s="14" t="s">
        <v>41</v>
      </c>
      <c r="E32" s="14" t="s">
        <v>50</v>
      </c>
    </row>
    <row r="33" customFormat="false" ht="39.75" hidden="false" customHeight="true" outlineLevel="0" collapsed="false">
      <c r="A33" s="13" t="s">
        <v>51</v>
      </c>
      <c r="B33" s="14" t="s">
        <v>52</v>
      </c>
      <c r="C33" s="14" t="s">
        <v>53</v>
      </c>
      <c r="D33" s="14" t="s">
        <v>54</v>
      </c>
      <c r="E33" s="14" t="s">
        <v>55</v>
      </c>
    </row>
    <row r="34" customFormat="false" ht="39.75" hidden="false" customHeight="true" outlineLevel="0" collapsed="false">
      <c r="A34" s="13" t="s">
        <v>56</v>
      </c>
      <c r="B34" s="14" t="s">
        <v>57</v>
      </c>
      <c r="C34" s="14" t="s">
        <v>58</v>
      </c>
      <c r="D34" s="14" t="s">
        <v>54</v>
      </c>
      <c r="E34" s="14" t="s">
        <v>59</v>
      </c>
    </row>
    <row r="35" customFormat="false" ht="39.75" hidden="false" customHeight="true" outlineLevel="0" collapsed="false">
      <c r="A35" s="13" t="s">
        <v>60</v>
      </c>
      <c r="B35" s="14" t="s">
        <v>61</v>
      </c>
      <c r="C35" s="14" t="s">
        <v>58</v>
      </c>
      <c r="D35" s="14" t="s">
        <v>54</v>
      </c>
      <c r="E35" s="14" t="s">
        <v>62</v>
      </c>
    </row>
    <row r="36" customFormat="false" ht="39.75" hidden="false" customHeight="true" outlineLevel="0" collapsed="false">
      <c r="A36" s="13" t="s">
        <v>63</v>
      </c>
      <c r="B36" s="14" t="s">
        <v>64</v>
      </c>
      <c r="C36" s="14" t="s">
        <v>65</v>
      </c>
      <c r="D36" s="14" t="s">
        <v>54</v>
      </c>
      <c r="E36" s="14" t="s">
        <v>66</v>
      </c>
    </row>
    <row r="37" customFormat="false" ht="39.75" hidden="false" customHeight="true" outlineLevel="0" collapsed="false">
      <c r="A37" s="13" t="s">
        <v>67</v>
      </c>
      <c r="B37" s="14" t="s">
        <v>68</v>
      </c>
      <c r="C37" s="14" t="s">
        <v>69</v>
      </c>
      <c r="D37" s="14" t="s">
        <v>41</v>
      </c>
      <c r="E37" s="14" t="s">
        <v>70</v>
      </c>
    </row>
    <row r="38" customFormat="false" ht="39.75" hidden="false" customHeight="true" outlineLevel="0" collapsed="false">
      <c r="A38" s="13" t="s">
        <v>71</v>
      </c>
      <c r="B38" s="14" t="s">
        <v>72</v>
      </c>
      <c r="C38" s="14" t="s">
        <v>73</v>
      </c>
      <c r="D38" s="14" t="s">
        <v>54</v>
      </c>
      <c r="E38" s="14" t="s">
        <v>74</v>
      </c>
    </row>
    <row r="39" customFormat="false" ht="39.75" hidden="false" customHeight="true" outlineLevel="0" collapsed="false">
      <c r="A39" s="13" t="s">
        <v>75</v>
      </c>
      <c r="B39" s="14" t="s">
        <v>76</v>
      </c>
      <c r="C39" s="14" t="s">
        <v>77</v>
      </c>
      <c r="D39" s="14" t="s">
        <v>41</v>
      </c>
      <c r="E39" s="14" t="s">
        <v>78</v>
      </c>
    </row>
  </sheetData>
  <mergeCells count="15">
    <mergeCell ref="A1:F2"/>
    <mergeCell ref="A3:F3"/>
    <mergeCell ref="A5:E5"/>
    <mergeCell ref="A8:E8"/>
    <mergeCell ref="A9:E9"/>
    <mergeCell ref="A10:E10"/>
    <mergeCell ref="A11:E11"/>
    <mergeCell ref="B19:E19"/>
    <mergeCell ref="B20:E20"/>
    <mergeCell ref="B21:E21"/>
    <mergeCell ref="B22:E22"/>
    <mergeCell ref="B23:E23"/>
    <mergeCell ref="B24:E24"/>
    <mergeCell ref="B25:E25"/>
    <mergeCell ref="B26:E26"/>
  </mergeCells>
  <hyperlinks>
    <hyperlink ref="A19" r:id="rId1" location="'Dashboard'!A1" display="Dashboard"/>
    <hyperlink ref="A20" r:id="rId2" location="'Projects'!A1" display="Projects"/>
    <hyperlink ref="A21" r:id="rId3" location="'Metrics'!A1" display="Metrics"/>
    <hyperlink ref="A22" r:id="rId4" location="'Trend'!A1" display="Trend"/>
    <hyperlink ref="A23" r:id="rId5" location="'Agentic%20Repo'!A1" display="Agentic Repo"/>
    <hyperlink ref="A24" r:id="rId6" location="'SDLC%20Usage'!A1" display="SDLC Usage"/>
    <hyperlink ref="A25" r:id="rId7" location="'Risks'!A1" display="Risks"/>
    <hyperlink ref="A26" r:id="rId8" location="'Actions'!A1" display="Ac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A3C"/>
    <pageSetUpPr fitToPage="tru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8" min="2" style="0" width="13"/>
    <col collapsed="false" customWidth="true" hidden="false" outlineLevel="0" max="10" min="9" style="0" width="15"/>
    <col collapsed="false" customWidth="true" hidden="false" outlineLevel="0" max="11" min="11" style="0" width="13"/>
  </cols>
  <sheetData>
    <row r="1" customFormat="false" ht="21.75" hidden="false" customHeight="true" outlineLevel="0" collapsed="false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5" t="s">
        <v>80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5" customFormat="false" ht="18" hidden="false" customHeight="true" outlineLevel="0" collapsed="false">
      <c r="A5" s="16" t="s">
        <v>81</v>
      </c>
      <c r="B5" s="17" t="s">
        <v>82</v>
      </c>
      <c r="C5" s="17"/>
      <c r="D5" s="17" t="s">
        <v>83</v>
      </c>
      <c r="E5" s="17"/>
      <c r="F5" s="17" t="s">
        <v>84</v>
      </c>
      <c r="G5" s="17"/>
      <c r="H5" s="17" t="s">
        <v>85</v>
      </c>
      <c r="I5" s="17"/>
      <c r="J5" s="17" t="s">
        <v>86</v>
      </c>
      <c r="K5" s="17"/>
    </row>
    <row r="6" customFormat="false" ht="19.5" hidden="false" customHeight="true" outlineLevel="0" collapsed="false">
      <c r="A6" s="18" t="str">
        <f aca="false">COUNT(Metrics!D5:D14)&amp;" of "&amp;ROWS(Metrics!D5:D14)</f>
        <v>2 of 10</v>
      </c>
      <c r="B6" s="19" t="n">
        <f aca="false">Metrics!F15</f>
        <v>0.695652173913044</v>
      </c>
      <c r="C6" s="19"/>
      <c r="D6" s="19" t="n">
        <f aca="false">Metrics!I15</f>
        <v>0.326315789473684</v>
      </c>
      <c r="E6" s="19"/>
      <c r="F6" s="20" t="n">
        <f aca="false">Metrics!L15</f>
        <v>-0.0863095238095238</v>
      </c>
      <c r="G6" s="20"/>
      <c r="H6" s="20" t="n">
        <f aca="false">Metrics!R15</f>
        <v>-0.120401337792642</v>
      </c>
      <c r="I6" s="20"/>
      <c r="J6" s="19" t="n">
        <f aca="false">'Agentic Repo'!M15</f>
        <v>0.641025641025641</v>
      </c>
      <c r="K6" s="19"/>
    </row>
    <row r="7" customFormat="false" ht="19.5" hidden="false" customHeight="true" outlineLevel="0" collapsed="false">
      <c r="A7" s="18"/>
      <c r="B7" s="18"/>
      <c r="C7" s="19"/>
      <c r="D7" s="19"/>
      <c r="E7" s="19"/>
      <c r="F7" s="20"/>
      <c r="G7" s="20"/>
      <c r="H7" s="20"/>
      <c r="I7" s="20"/>
      <c r="J7" s="19"/>
      <c r="K7" s="19"/>
    </row>
    <row r="8" customFormat="false" ht="15.75" hidden="false" customHeight="true" outlineLevel="0" collapsed="false">
      <c r="A8" s="21" t="s">
        <v>87</v>
      </c>
      <c r="B8" s="22" t="s">
        <v>88</v>
      </c>
      <c r="C8" s="22"/>
      <c r="D8" s="22" t="s">
        <v>89</v>
      </c>
      <c r="E8" s="22"/>
      <c r="F8" s="22" t="s">
        <v>90</v>
      </c>
      <c r="G8" s="22"/>
      <c r="H8" s="22" t="s">
        <v>90</v>
      </c>
      <c r="I8" s="22"/>
      <c r="J8" s="22" t="s">
        <v>91</v>
      </c>
      <c r="K8" s="22"/>
    </row>
    <row r="10" customFormat="false" ht="15" hidden="false" customHeight="false" outlineLevel="0" collapsed="false">
      <c r="A10" s="4" t="s">
        <v>92</v>
      </c>
    </row>
    <row r="11" customFormat="false" ht="39.75" hidden="false" customHeight="true" outlineLevel="0" collapsed="false">
      <c r="A11" s="12" t="s">
        <v>93</v>
      </c>
      <c r="B11" s="12" t="s">
        <v>71</v>
      </c>
      <c r="C11" s="12" t="s">
        <v>43</v>
      </c>
      <c r="D11" s="12" t="s">
        <v>94</v>
      </c>
      <c r="E11" s="12" t="s">
        <v>95</v>
      </c>
      <c r="F11" s="12" t="s">
        <v>96</v>
      </c>
      <c r="G11" s="12" t="s">
        <v>75</v>
      </c>
      <c r="H11" s="12" t="s">
        <v>97</v>
      </c>
      <c r="I11" s="12" t="s">
        <v>98</v>
      </c>
      <c r="J11" s="12" t="s">
        <v>99</v>
      </c>
      <c r="K11" s="12" t="s">
        <v>100</v>
      </c>
    </row>
    <row r="12" customFormat="false" ht="15" hidden="false" customHeight="false" outlineLevel="0" collapsed="false">
      <c r="A12" s="9" t="str">
        <f aca="false">Metrics!B5</f>
        <v>Project A - Viewer platform (SAMPLE)</v>
      </c>
      <c r="B12" s="23" t="n">
        <f aca="false">IF(Projects!J5="","",Projects!J5)</f>
        <v>3</v>
      </c>
      <c r="C12" s="24" t="n">
        <f aca="false">Metrics!F5</f>
        <v>0.785714285714286</v>
      </c>
      <c r="D12" s="24" t="n">
        <f aca="false">Metrics!I5</f>
        <v>0.4</v>
      </c>
      <c r="E12" s="25" t="n">
        <f aca="false">Metrics!L5</f>
        <v>-0.125</v>
      </c>
      <c r="F12" s="25" t="n">
        <f aca="false">Metrics!R5</f>
        <v>-0.153846153846154</v>
      </c>
      <c r="G12" s="23" t="n">
        <f aca="false">'Agentic Repo'!O5</f>
        <v>4</v>
      </c>
      <c r="H12" s="23" t="n">
        <f aca="false">'SDLC Usage'!J5</f>
        <v>3</v>
      </c>
      <c r="I12" s="26" t="str">
        <f aca="false">IF(N(Metrics!D5)=0,"Not reporting",IF(AND(C12&gt;=$B$25,OR(E12="",E12&lt;=0)),"On track",IF(C12&gt;=$B$26,"Watch","Needs attention")))</f>
        <v>On track</v>
      </c>
      <c r="J12" s="27" t="str">
        <f aca="false">Projects!K5</f>
        <v>Deployed</v>
      </c>
      <c r="K12" s="27" t="str">
        <f aca="false">IF(Metrics!V5="","",Metrics!V5)</f>
        <v>Measured</v>
      </c>
    </row>
    <row r="13" customFormat="false" ht="15" hidden="false" customHeight="false" outlineLevel="0" collapsed="false">
      <c r="A13" s="9" t="str">
        <f aca="false">Metrics!B6</f>
        <v>Project B - Integration services (SAMPLE)</v>
      </c>
      <c r="B13" s="23" t="n">
        <f aca="false">IF(Projects!J6="","",Projects!J6)</f>
        <v>2</v>
      </c>
      <c r="C13" s="24" t="n">
        <f aca="false">Metrics!F6</f>
        <v>0.555555555555556</v>
      </c>
      <c r="D13" s="24" t="n">
        <f aca="false">Metrics!I6</f>
        <v>0.2</v>
      </c>
      <c r="E13" s="25" t="n">
        <f aca="false">Metrics!L6</f>
        <v>-0.0476190476190477</v>
      </c>
      <c r="F13" s="25" t="n">
        <f aca="false">Metrics!R6</f>
        <v>-0.0869565217391304</v>
      </c>
      <c r="G13" s="23" t="n">
        <f aca="false">'Agentic Repo'!O6</f>
        <v>0</v>
      </c>
      <c r="H13" s="23" t="n">
        <f aca="false">'SDLC Usage'!J6</f>
        <v>1</v>
      </c>
      <c r="I13" s="26" t="str">
        <f aca="false">IF(N(Metrics!D6)=0,"Not reporting",IF(AND(C13&gt;=$B$25,OR(E13="",E13&lt;=0)),"On track",IF(C13&gt;=$B$26,"Watch","Needs attention")))</f>
        <v>Watch</v>
      </c>
      <c r="J13" s="27" t="str">
        <f aca="false">Projects!K6</f>
        <v>Pilot</v>
      </c>
      <c r="K13" s="27" t="str">
        <f aca="false">IF(Metrics!V6="","",Metrics!V6)</f>
        <v>Estimated</v>
      </c>
    </row>
    <row r="14" customFormat="false" ht="15" hidden="false" customHeight="false" outlineLevel="0" collapsed="false">
      <c r="A14" s="9" t="str">
        <f aca="false">Metrics!B7</f>
        <v/>
      </c>
      <c r="B14" s="23" t="str">
        <f aca="false">IF(Projects!J7="","",Projects!J7)</f>
        <v/>
      </c>
      <c r="C14" s="24" t="str">
        <f aca="false">Metrics!F7</f>
        <v/>
      </c>
      <c r="D14" s="24" t="str">
        <f aca="false">Metrics!I7</f>
        <v/>
      </c>
      <c r="E14" s="25" t="str">
        <f aca="false">Metrics!L7</f>
        <v/>
      </c>
      <c r="F14" s="25" t="str">
        <f aca="false">Metrics!R7</f>
        <v/>
      </c>
      <c r="G14" s="23" t="str">
        <f aca="false">'Agentic Repo'!O7</f>
        <v/>
      </c>
      <c r="H14" s="23" t="str">
        <f aca="false">'SDLC Usage'!J7</f>
        <v/>
      </c>
      <c r="I14" s="26" t="str">
        <f aca="false">IF(N(Metrics!D7)=0,"Not reporting",IF(AND(C14&gt;=$B$25,OR(E14="",E14&lt;=0)),"On track",IF(C14&gt;=$B$26,"Watch","Needs attention")))</f>
        <v>Not reporting</v>
      </c>
      <c r="J14" s="27" t="str">
        <f aca="false">Projects!K7</f>
        <v>Not started</v>
      </c>
      <c r="K14" s="27" t="str">
        <f aca="false">IF(Metrics!V7="","",Metrics!V7)</f>
        <v/>
      </c>
    </row>
    <row r="15" customFormat="false" ht="15" hidden="false" customHeight="false" outlineLevel="0" collapsed="false">
      <c r="A15" s="9" t="str">
        <f aca="false">Metrics!B8</f>
        <v/>
      </c>
      <c r="B15" s="23" t="str">
        <f aca="false">IF(Projects!J8="","",Projects!J8)</f>
        <v/>
      </c>
      <c r="C15" s="24" t="str">
        <f aca="false">Metrics!F8</f>
        <v/>
      </c>
      <c r="D15" s="24" t="str">
        <f aca="false">Metrics!I8</f>
        <v/>
      </c>
      <c r="E15" s="25" t="str">
        <f aca="false">Metrics!L8</f>
        <v/>
      </c>
      <c r="F15" s="25" t="str">
        <f aca="false">Metrics!R8</f>
        <v/>
      </c>
      <c r="G15" s="23" t="str">
        <f aca="false">'Agentic Repo'!O8</f>
        <v/>
      </c>
      <c r="H15" s="23" t="str">
        <f aca="false">'SDLC Usage'!J8</f>
        <v/>
      </c>
      <c r="I15" s="26" t="str">
        <f aca="false">IF(N(Metrics!D8)=0,"Not reporting",IF(AND(C15&gt;=$B$25,OR(E15="",E15&lt;=0)),"On track",IF(C15&gt;=$B$26,"Watch","Needs attention")))</f>
        <v>Not reporting</v>
      </c>
      <c r="J15" s="27" t="str">
        <f aca="false">Projects!K8</f>
        <v>Not started</v>
      </c>
      <c r="K15" s="27" t="str">
        <f aca="false">IF(Metrics!V8="","",Metrics!V8)</f>
        <v/>
      </c>
    </row>
    <row r="16" customFormat="false" ht="15" hidden="false" customHeight="false" outlineLevel="0" collapsed="false">
      <c r="A16" s="9" t="str">
        <f aca="false">Metrics!B9</f>
        <v/>
      </c>
      <c r="B16" s="23" t="str">
        <f aca="false">IF(Projects!J9="","",Projects!J9)</f>
        <v/>
      </c>
      <c r="C16" s="24" t="str">
        <f aca="false">Metrics!F9</f>
        <v/>
      </c>
      <c r="D16" s="24" t="str">
        <f aca="false">Metrics!I9</f>
        <v/>
      </c>
      <c r="E16" s="25" t="str">
        <f aca="false">Metrics!L9</f>
        <v/>
      </c>
      <c r="F16" s="25" t="str">
        <f aca="false">Metrics!R9</f>
        <v/>
      </c>
      <c r="G16" s="23" t="str">
        <f aca="false">'Agentic Repo'!O9</f>
        <v/>
      </c>
      <c r="H16" s="23" t="str">
        <f aca="false">'SDLC Usage'!J9</f>
        <v/>
      </c>
      <c r="I16" s="26" t="str">
        <f aca="false">IF(N(Metrics!D9)=0,"Not reporting",IF(AND(C16&gt;=$B$25,OR(E16="",E16&lt;=0)),"On track",IF(C16&gt;=$B$26,"Watch","Needs attention")))</f>
        <v>Not reporting</v>
      </c>
      <c r="J16" s="27" t="str">
        <f aca="false">Projects!K9</f>
        <v>Not started</v>
      </c>
      <c r="K16" s="27" t="str">
        <f aca="false">IF(Metrics!V9="","",Metrics!V9)</f>
        <v/>
      </c>
    </row>
    <row r="17" customFormat="false" ht="15" hidden="false" customHeight="false" outlineLevel="0" collapsed="false">
      <c r="A17" s="9" t="str">
        <f aca="false">Metrics!B10</f>
        <v/>
      </c>
      <c r="B17" s="23" t="str">
        <f aca="false">IF(Projects!J10="","",Projects!J10)</f>
        <v/>
      </c>
      <c r="C17" s="24" t="str">
        <f aca="false">Metrics!F10</f>
        <v/>
      </c>
      <c r="D17" s="24" t="str">
        <f aca="false">Metrics!I10</f>
        <v/>
      </c>
      <c r="E17" s="25" t="str">
        <f aca="false">Metrics!L10</f>
        <v/>
      </c>
      <c r="F17" s="25" t="str">
        <f aca="false">Metrics!R10</f>
        <v/>
      </c>
      <c r="G17" s="23" t="str">
        <f aca="false">'Agentic Repo'!O10</f>
        <v/>
      </c>
      <c r="H17" s="23" t="str">
        <f aca="false">'SDLC Usage'!J10</f>
        <v/>
      </c>
      <c r="I17" s="26" t="str">
        <f aca="false">IF(N(Metrics!D10)=0,"Not reporting",IF(AND(C17&gt;=$B$25,OR(E17="",E17&lt;=0)),"On track",IF(C17&gt;=$B$26,"Watch","Needs attention")))</f>
        <v>Not reporting</v>
      </c>
      <c r="J17" s="27" t="str">
        <f aca="false">Projects!K10</f>
        <v>Not started</v>
      </c>
      <c r="K17" s="27" t="str">
        <f aca="false">IF(Metrics!V10="","",Metrics!V10)</f>
        <v/>
      </c>
    </row>
    <row r="18" customFormat="false" ht="15" hidden="false" customHeight="false" outlineLevel="0" collapsed="false">
      <c r="A18" s="9" t="str">
        <f aca="false">Metrics!B11</f>
        <v/>
      </c>
      <c r="B18" s="23" t="str">
        <f aca="false">IF(Projects!J11="","",Projects!J11)</f>
        <v/>
      </c>
      <c r="C18" s="24" t="str">
        <f aca="false">Metrics!F11</f>
        <v/>
      </c>
      <c r="D18" s="24" t="str">
        <f aca="false">Metrics!I11</f>
        <v/>
      </c>
      <c r="E18" s="25" t="str">
        <f aca="false">Metrics!L11</f>
        <v/>
      </c>
      <c r="F18" s="25" t="str">
        <f aca="false">Metrics!R11</f>
        <v/>
      </c>
      <c r="G18" s="23" t="str">
        <f aca="false">'Agentic Repo'!O11</f>
        <v/>
      </c>
      <c r="H18" s="23" t="str">
        <f aca="false">'SDLC Usage'!J11</f>
        <v/>
      </c>
      <c r="I18" s="26" t="str">
        <f aca="false">IF(N(Metrics!D11)=0,"Not reporting",IF(AND(C18&gt;=$B$25,OR(E18="",E18&lt;=0)),"On track",IF(C18&gt;=$B$26,"Watch","Needs attention")))</f>
        <v>Not reporting</v>
      </c>
      <c r="J18" s="27" t="str">
        <f aca="false">Projects!K11</f>
        <v>Not started</v>
      </c>
      <c r="K18" s="27" t="str">
        <f aca="false">IF(Metrics!V11="","",Metrics!V11)</f>
        <v/>
      </c>
    </row>
    <row r="19" customFormat="false" ht="15" hidden="false" customHeight="false" outlineLevel="0" collapsed="false">
      <c r="A19" s="9" t="str">
        <f aca="false">Metrics!B12</f>
        <v/>
      </c>
      <c r="B19" s="23" t="str">
        <f aca="false">IF(Projects!J12="","",Projects!J12)</f>
        <v/>
      </c>
      <c r="C19" s="24" t="str">
        <f aca="false">Metrics!F12</f>
        <v/>
      </c>
      <c r="D19" s="24" t="str">
        <f aca="false">Metrics!I12</f>
        <v/>
      </c>
      <c r="E19" s="25" t="str">
        <f aca="false">Metrics!L12</f>
        <v/>
      </c>
      <c r="F19" s="25" t="str">
        <f aca="false">Metrics!R12</f>
        <v/>
      </c>
      <c r="G19" s="23" t="str">
        <f aca="false">'Agentic Repo'!O12</f>
        <v/>
      </c>
      <c r="H19" s="23" t="str">
        <f aca="false">'SDLC Usage'!J12</f>
        <v/>
      </c>
      <c r="I19" s="26" t="str">
        <f aca="false">IF(N(Metrics!D12)=0,"Not reporting",IF(AND(C19&gt;=$B$25,OR(E19="",E19&lt;=0)),"On track",IF(C19&gt;=$B$26,"Watch","Needs attention")))</f>
        <v>Not reporting</v>
      </c>
      <c r="J19" s="27" t="str">
        <f aca="false">Projects!K12</f>
        <v>Not started</v>
      </c>
      <c r="K19" s="27" t="str">
        <f aca="false">IF(Metrics!V12="","",Metrics!V12)</f>
        <v/>
      </c>
    </row>
    <row r="20" customFormat="false" ht="15" hidden="false" customHeight="false" outlineLevel="0" collapsed="false">
      <c r="A20" s="9" t="str">
        <f aca="false">Metrics!B13</f>
        <v/>
      </c>
      <c r="B20" s="23" t="str">
        <f aca="false">IF(Projects!J13="","",Projects!J13)</f>
        <v/>
      </c>
      <c r="C20" s="24" t="str">
        <f aca="false">Metrics!F13</f>
        <v/>
      </c>
      <c r="D20" s="24" t="str">
        <f aca="false">Metrics!I13</f>
        <v/>
      </c>
      <c r="E20" s="25" t="str">
        <f aca="false">Metrics!L13</f>
        <v/>
      </c>
      <c r="F20" s="25" t="str">
        <f aca="false">Metrics!R13</f>
        <v/>
      </c>
      <c r="G20" s="23" t="str">
        <f aca="false">'Agentic Repo'!O13</f>
        <v/>
      </c>
      <c r="H20" s="23" t="str">
        <f aca="false">'SDLC Usage'!J13</f>
        <v/>
      </c>
      <c r="I20" s="26" t="str">
        <f aca="false">IF(N(Metrics!D13)=0,"Not reporting",IF(AND(C20&gt;=$B$25,OR(E20="",E20&lt;=0)),"On track",IF(C20&gt;=$B$26,"Watch","Needs attention")))</f>
        <v>Not reporting</v>
      </c>
      <c r="J20" s="27" t="str">
        <f aca="false">Projects!K13</f>
        <v>Not started</v>
      </c>
      <c r="K20" s="27" t="str">
        <f aca="false">IF(Metrics!V13="","",Metrics!V13)</f>
        <v/>
      </c>
    </row>
    <row r="21" customFormat="false" ht="15" hidden="false" customHeight="false" outlineLevel="0" collapsed="false">
      <c r="A21" s="9" t="str">
        <f aca="false">Metrics!B14</f>
        <v/>
      </c>
      <c r="B21" s="23" t="str">
        <f aca="false">IF(Projects!J14="","",Projects!J14)</f>
        <v/>
      </c>
      <c r="C21" s="24" t="str">
        <f aca="false">Metrics!F14</f>
        <v/>
      </c>
      <c r="D21" s="24" t="str">
        <f aca="false">Metrics!I14</f>
        <v/>
      </c>
      <c r="E21" s="25" t="str">
        <f aca="false">Metrics!L14</f>
        <v/>
      </c>
      <c r="F21" s="25" t="str">
        <f aca="false">Metrics!R14</f>
        <v/>
      </c>
      <c r="G21" s="23" t="str">
        <f aca="false">'Agentic Repo'!O14</f>
        <v/>
      </c>
      <c r="H21" s="23" t="str">
        <f aca="false">'SDLC Usage'!J14</f>
        <v/>
      </c>
      <c r="I21" s="26" t="str">
        <f aca="false">IF(N(Metrics!D14)=0,"Not reporting",IF(AND(C21&gt;=$B$25,OR(E21="",E21&lt;=0)),"On track",IF(C21&gt;=$B$26,"Watch","Needs attention")))</f>
        <v>Not reporting</v>
      </c>
      <c r="J21" s="27" t="str">
        <f aca="false">Projects!K14</f>
        <v>Not started</v>
      </c>
      <c r="K21" s="27" t="str">
        <f aca="false">IF(Metrics!V14="","",Metrics!V14)</f>
        <v/>
      </c>
    </row>
    <row r="24" customFormat="false" ht="15" hidden="false" customHeight="false" outlineLevel="0" collapsed="false">
      <c r="A24" s="28" t="s">
        <v>101</v>
      </c>
    </row>
    <row r="25" customFormat="false" ht="15" hidden="false" customHeight="false" outlineLevel="0" collapsed="false">
      <c r="A25" s="8" t="s">
        <v>102</v>
      </c>
      <c r="B25" s="29" t="n">
        <v>0.7</v>
      </c>
      <c r="C25" s="30" t="s">
        <v>103</v>
      </c>
    </row>
    <row r="26" customFormat="false" ht="15" hidden="false" customHeight="false" outlineLevel="0" collapsed="false">
      <c r="A26" s="8" t="s">
        <v>104</v>
      </c>
      <c r="B26" s="29" t="n">
        <v>0.4</v>
      </c>
    </row>
  </sheetData>
  <mergeCells count="18">
    <mergeCell ref="A1:K2"/>
    <mergeCell ref="A3:K3"/>
    <mergeCell ref="B5:C5"/>
    <mergeCell ref="D5:E5"/>
    <mergeCell ref="F5:G5"/>
    <mergeCell ref="H5:I5"/>
    <mergeCell ref="J5:K5"/>
    <mergeCell ref="A6:A7"/>
    <mergeCell ref="B6:C7"/>
    <mergeCell ref="D6:E7"/>
    <mergeCell ref="F6:G7"/>
    <mergeCell ref="H6:I7"/>
    <mergeCell ref="J6:K7"/>
    <mergeCell ref="B8:C8"/>
    <mergeCell ref="D8:E8"/>
    <mergeCell ref="F8:G8"/>
    <mergeCell ref="H8:I8"/>
    <mergeCell ref="J8:K8"/>
  </mergeCells>
  <conditionalFormatting sqref="F6:F7">
    <cfRule type="cellIs" priority="2" operator="lessThan" aboveAverage="0" equalAverage="0" bottom="0" percent="0" rank="0" text="" dxfId="0">
      <formula>0</formula>
    </cfRule>
    <cfRule type="expression" priority="3" aboveAverage="0" equalAverage="0" bottom="0" percent="0" rank="0" text="" dxfId="1">
      <formula>AND(ISNUMBER(F6),F6&gt;0)</formula>
    </cfRule>
  </conditionalFormatting>
  <conditionalFormatting sqref="H6:H7">
    <cfRule type="cellIs" priority="4" operator="lessThan" aboveAverage="0" equalAverage="0" bottom="0" percent="0" rank="0" text="" dxfId="0">
      <formula>0</formula>
    </cfRule>
    <cfRule type="expression" priority="5" aboveAverage="0" equalAverage="0" bottom="0" percent="0" rank="0" text="" dxfId="1">
      <formula>AND(ISNUMBER(H6),H6&gt;0)</formula>
    </cfRule>
  </conditionalFormatting>
  <conditionalFormatting sqref="I12:I21">
    <cfRule type="cellIs" priority="6" operator="equal" aboveAverage="0" equalAverage="0" bottom="0" percent="0" rank="0" text="" dxfId="2">
      <formula>"On track"</formula>
    </cfRule>
    <cfRule type="cellIs" priority="7" operator="equal" aboveAverage="0" equalAverage="0" bottom="0" percent="0" rank="0" text="" dxfId="3">
      <formula>"Watch"</formula>
    </cfRule>
    <cfRule type="cellIs" priority="8" operator="equal" aboveAverage="0" equalAverage="0" bottom="0" percent="0" rank="0" text="" dxfId="4">
      <formula>"Needs attention"</formula>
    </cfRule>
    <cfRule type="cellIs" priority="9" operator="equal" aboveAverage="0" equalAverage="0" bottom="0" percent="0" rank="0" text="" dxfId="5">
      <formula>"Not reporting"</formula>
    </cfRule>
  </conditionalFormatting>
  <conditionalFormatting sqref="J12:J21">
    <cfRule type="cellIs" priority="10" operator="equal" aboveAverage="0" equalAverage="0" bottom="0" percent="0" rank="0" text="" dxfId="2">
      <formula>"Deployed"</formula>
    </cfRule>
    <cfRule type="cellIs" priority="11" operator="equal" aboveAverage="0" equalAverage="0" bottom="0" percent="0" rank="0" text="" dxfId="3">
      <formula>"Pilot"</formula>
    </cfRule>
    <cfRule type="cellIs" priority="12" operator="equal" aboveAverage="0" equalAverage="0" bottom="0" percent="0" rank="0" text="" dxfId="5">
      <formula>"Not started"</formula>
    </cfRule>
  </conditionalFormatting>
  <conditionalFormatting sqref="K12:K21">
    <cfRule type="cellIs" priority="13" operator="equal" aboveAverage="0" equalAverage="0" bottom="0" percent="0" rank="0" text="" dxfId="2">
      <formula>"Measured"</formula>
    </cfRule>
    <cfRule type="cellIs" priority="14" operator="equal" aboveAverage="0" equalAverage="0" bottom="0" percent="0" rank="0" text="" dxfId="3">
      <formula>"Estimated"</formula>
    </cfRule>
    <cfRule type="cellIs" priority="15" operator="equal" aboveAverage="0" equalAverage="0" bottom="0" percent="0" rank="0" text="" dxfId="5">
      <formula>"Survey"</formula>
    </cfRule>
  </conditionalFormatting>
  <conditionalFormatting sqref="C12:C21">
    <cfRule type="dataBar" priority="16">
      <dataBar showValue="1" minLength="10" maxLength="90">
        <cfvo type="num" val="0"/>
        <cfvo type="num" val="1"/>
        <color rgb="FF1F6F78"/>
      </dataBar>
      <extLst>
        <ext xmlns:x14="http://schemas.microsoft.com/office/spreadsheetml/2009/9/main" uri="{B025F937-C7B1-47D3-B67F-A62EFF666E3E}">
          <x14:id>{F0939F35-4031-4434-9492-1C46CF976AE6}</x14:id>
        </ext>
      </extLst>
    </cfRule>
  </conditionalFormatting>
  <conditionalFormatting sqref="D12:D21">
    <cfRule type="dataBar" priority="17">
      <dataBar showValue="1" minLength="10" maxLength="90">
        <cfvo type="num" val="0"/>
        <cfvo type="num" val="1"/>
        <color rgb="FFE8A33D"/>
      </dataBar>
      <extLst>
        <ext xmlns:x14="http://schemas.microsoft.com/office/spreadsheetml/2009/9/main" uri="{B025F937-C7B1-47D3-B67F-A62EFF666E3E}">
          <x14:id>{6B9B81DD-F335-4CB3-A4A1-F46B9F787D6B}</x14:id>
        </ext>
      </extLst>
    </cfRule>
  </conditionalFormatting>
  <conditionalFormatting sqref="E12:E21">
    <cfRule type="cellIs" priority="18" operator="lessThan" aboveAverage="0" equalAverage="0" bottom="0" percent="0" rank="0" text="" dxfId="0">
      <formula>0</formula>
    </cfRule>
    <cfRule type="expression" priority="19" aboveAverage="0" equalAverage="0" bottom="0" percent="0" rank="0" text="" dxfId="1">
      <formula>AND(ISNUMBER(E12),E12&gt;0)</formula>
    </cfRule>
  </conditionalFormatting>
  <conditionalFormatting sqref="F12:F21">
    <cfRule type="cellIs" priority="20" operator="lessThan" aboveAverage="0" equalAverage="0" bottom="0" percent="0" rank="0" text="" dxfId="0">
      <formula>0</formula>
    </cfRule>
    <cfRule type="expression" priority="21" aboveAverage="0" equalAverage="0" bottom="0" percent="0" rank="0" text="" dxfId="1">
      <formula>AND(ISNUMBER(F12),F12&gt;0)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939F35-4031-4434-9492-1C46CF976AE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6F78"/>
              <x14:axisColor rgb="FF000000"/>
            </x14:dataBar>
          </x14:cfRule>
          <xm:sqref>C12:C21</xm:sqref>
        </x14:conditionalFormatting>
        <x14:conditionalFormatting xmlns:xm="http://schemas.microsoft.com/office/excel/2006/main">
          <x14:cfRule type="dataBar" id="{6B9B81DD-F335-4CB3-A4A1-F46B9F787D6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E8A33D"/>
              <x14:axisColor rgb="FF000000"/>
            </x14:dataBar>
          </x14:cfRule>
          <xm:sqref>D12:D21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78"/>
    <pageSetUpPr fitToPage="tru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7" min="6" style="0" width="7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30"/>
  </cols>
  <sheetData>
    <row r="1" customFormat="false" ht="21.75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 t="s">
        <v>106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39.75" hidden="false" customHeight="true" outlineLevel="0" collapsed="false">
      <c r="A4" s="12" t="s">
        <v>107</v>
      </c>
      <c r="B4" s="12" t="s">
        <v>108</v>
      </c>
      <c r="C4" s="12" t="s">
        <v>109</v>
      </c>
      <c r="D4" s="12" t="s">
        <v>110</v>
      </c>
      <c r="E4" s="12" t="s">
        <v>111</v>
      </c>
      <c r="F4" s="12" t="s">
        <v>112</v>
      </c>
      <c r="G4" s="12" t="s">
        <v>113</v>
      </c>
      <c r="H4" s="12" t="s">
        <v>114</v>
      </c>
      <c r="I4" s="12" t="s">
        <v>115</v>
      </c>
      <c r="J4" s="12" t="s">
        <v>71</v>
      </c>
      <c r="K4" s="12" t="s">
        <v>116</v>
      </c>
      <c r="L4" s="12" t="s">
        <v>117</v>
      </c>
    </row>
    <row r="5" customFormat="false" ht="23.85" hidden="false" customHeight="false" outlineLevel="0" collapsed="false">
      <c r="A5" s="31" t="s">
        <v>118</v>
      </c>
      <c r="B5" s="32" t="s">
        <v>119</v>
      </c>
      <c r="C5" s="32" t="s">
        <v>120</v>
      </c>
      <c r="D5" s="33" t="s">
        <v>121</v>
      </c>
      <c r="E5" s="33" t="n">
        <v>14</v>
      </c>
      <c r="F5" s="33" t="n">
        <v>9</v>
      </c>
      <c r="G5" s="33" t="n">
        <v>3</v>
      </c>
      <c r="H5" s="33" t="n">
        <v>2</v>
      </c>
      <c r="I5" s="32" t="s">
        <v>122</v>
      </c>
      <c r="J5" s="33" t="n">
        <v>3</v>
      </c>
      <c r="K5" s="33" t="s">
        <v>123</v>
      </c>
      <c r="L5" s="32" t="s">
        <v>124</v>
      </c>
    </row>
    <row r="6" customFormat="false" ht="15" hidden="false" customHeight="false" outlineLevel="0" collapsed="false">
      <c r="A6" s="31" t="s">
        <v>125</v>
      </c>
      <c r="B6" s="32" t="s">
        <v>126</v>
      </c>
      <c r="C6" s="32" t="s">
        <v>127</v>
      </c>
      <c r="D6" s="33" t="s">
        <v>128</v>
      </c>
      <c r="E6" s="33" t="n">
        <v>9</v>
      </c>
      <c r="F6" s="33" t="n">
        <v>5</v>
      </c>
      <c r="G6" s="33" t="n">
        <v>2</v>
      </c>
      <c r="H6" s="33" t="n">
        <v>2</v>
      </c>
      <c r="I6" s="32" t="s">
        <v>129</v>
      </c>
      <c r="J6" s="33" t="n">
        <v>2</v>
      </c>
      <c r="K6" s="33" t="s">
        <v>130</v>
      </c>
      <c r="L6" s="32" t="s">
        <v>131</v>
      </c>
    </row>
    <row r="7" customFormat="false" ht="15" hidden="false" customHeight="false" outlineLevel="0" collapsed="false">
      <c r="A7" s="31" t="s">
        <v>132</v>
      </c>
      <c r="B7" s="32"/>
      <c r="C7" s="32"/>
      <c r="D7" s="33"/>
      <c r="E7" s="33"/>
      <c r="F7" s="33"/>
      <c r="G7" s="33"/>
      <c r="H7" s="33"/>
      <c r="I7" s="32"/>
      <c r="J7" s="33"/>
      <c r="K7" s="33" t="s">
        <v>133</v>
      </c>
      <c r="L7" s="32"/>
    </row>
    <row r="8" customFormat="false" ht="15" hidden="false" customHeight="false" outlineLevel="0" collapsed="false">
      <c r="A8" s="31" t="s">
        <v>134</v>
      </c>
      <c r="B8" s="32"/>
      <c r="C8" s="32"/>
      <c r="D8" s="33"/>
      <c r="E8" s="33"/>
      <c r="F8" s="33"/>
      <c r="G8" s="33"/>
      <c r="H8" s="33"/>
      <c r="I8" s="32"/>
      <c r="J8" s="33"/>
      <c r="K8" s="33" t="s">
        <v>133</v>
      </c>
      <c r="L8" s="32"/>
    </row>
    <row r="9" customFormat="false" ht="15" hidden="false" customHeight="false" outlineLevel="0" collapsed="false">
      <c r="A9" s="31" t="s">
        <v>135</v>
      </c>
      <c r="B9" s="32"/>
      <c r="C9" s="32"/>
      <c r="D9" s="33"/>
      <c r="E9" s="33"/>
      <c r="F9" s="33"/>
      <c r="G9" s="33"/>
      <c r="H9" s="33"/>
      <c r="I9" s="32"/>
      <c r="J9" s="33"/>
      <c r="K9" s="33" t="s">
        <v>133</v>
      </c>
      <c r="L9" s="32"/>
    </row>
    <row r="10" customFormat="false" ht="15" hidden="false" customHeight="false" outlineLevel="0" collapsed="false">
      <c r="A10" s="31" t="s">
        <v>136</v>
      </c>
      <c r="B10" s="32"/>
      <c r="C10" s="32"/>
      <c r="D10" s="33"/>
      <c r="E10" s="33"/>
      <c r="F10" s="33"/>
      <c r="G10" s="33"/>
      <c r="H10" s="33"/>
      <c r="I10" s="32"/>
      <c r="J10" s="33"/>
      <c r="K10" s="33" t="s">
        <v>133</v>
      </c>
      <c r="L10" s="32"/>
    </row>
    <row r="11" customFormat="false" ht="15" hidden="false" customHeight="false" outlineLevel="0" collapsed="false">
      <c r="A11" s="31" t="s">
        <v>137</v>
      </c>
      <c r="B11" s="32"/>
      <c r="C11" s="32"/>
      <c r="D11" s="33"/>
      <c r="E11" s="33"/>
      <c r="F11" s="33"/>
      <c r="G11" s="33"/>
      <c r="H11" s="33"/>
      <c r="I11" s="32"/>
      <c r="J11" s="33"/>
      <c r="K11" s="33" t="s">
        <v>133</v>
      </c>
      <c r="L11" s="32"/>
    </row>
    <row r="12" customFormat="false" ht="15" hidden="false" customHeight="false" outlineLevel="0" collapsed="false">
      <c r="A12" s="31" t="s">
        <v>138</v>
      </c>
      <c r="B12" s="32"/>
      <c r="C12" s="32"/>
      <c r="D12" s="33"/>
      <c r="E12" s="33"/>
      <c r="F12" s="33"/>
      <c r="G12" s="33"/>
      <c r="H12" s="33"/>
      <c r="I12" s="32"/>
      <c r="J12" s="33"/>
      <c r="K12" s="33" t="s">
        <v>133</v>
      </c>
      <c r="L12" s="32"/>
    </row>
    <row r="13" customFormat="false" ht="15" hidden="false" customHeight="false" outlineLevel="0" collapsed="false">
      <c r="A13" s="31" t="s">
        <v>139</v>
      </c>
      <c r="B13" s="32"/>
      <c r="C13" s="32"/>
      <c r="D13" s="33"/>
      <c r="E13" s="33"/>
      <c r="F13" s="33"/>
      <c r="G13" s="33"/>
      <c r="H13" s="33"/>
      <c r="I13" s="32"/>
      <c r="J13" s="33"/>
      <c r="K13" s="33" t="s">
        <v>133</v>
      </c>
      <c r="L13" s="32"/>
    </row>
    <row r="14" customFormat="false" ht="15" hidden="false" customHeight="false" outlineLevel="0" collapsed="false">
      <c r="A14" s="31" t="s">
        <v>140</v>
      </c>
      <c r="B14" s="32"/>
      <c r="C14" s="32"/>
      <c r="D14" s="33"/>
      <c r="E14" s="33"/>
      <c r="F14" s="33"/>
      <c r="G14" s="33"/>
      <c r="H14" s="33"/>
      <c r="I14" s="32"/>
      <c r="J14" s="33"/>
      <c r="K14" s="33" t="s">
        <v>133</v>
      </c>
      <c r="L14" s="32"/>
    </row>
    <row r="15" customFormat="false" ht="15" hidden="false" customHeight="false" outlineLevel="0" collapsed="false">
      <c r="A15" s="34"/>
      <c r="B15" s="35" t="s">
        <v>141</v>
      </c>
      <c r="C15" s="34"/>
      <c r="D15" s="34"/>
      <c r="E15" s="35" t="n">
        <f aca="false">SUM(E5:E14)</f>
        <v>23</v>
      </c>
      <c r="F15" s="34"/>
      <c r="G15" s="34"/>
      <c r="H15" s="34"/>
      <c r="I15" s="34"/>
      <c r="J15" s="34"/>
      <c r="K15" s="34"/>
      <c r="L15" s="34"/>
    </row>
  </sheetData>
  <mergeCells count="2">
    <mergeCell ref="A1:L2"/>
    <mergeCell ref="A3:L3"/>
  </mergeCells>
  <conditionalFormatting sqref="K5:K14">
    <cfRule type="cellIs" priority="2" operator="equal" aboveAverage="0" equalAverage="0" bottom="0" percent="0" rank="0" text="" dxfId="2">
      <formula>"Deployed"</formula>
    </cfRule>
    <cfRule type="cellIs" priority="3" operator="equal" aboveAverage="0" equalAverage="0" bottom="0" percent="0" rank="0" text="" dxfId="3">
      <formula>"Pilot"</formula>
    </cfRule>
    <cfRule type="cellIs" priority="4" operator="equal" aboveAverage="0" equalAverage="0" bottom="0" percent="0" rank="0" text="" dxfId="5">
      <formula>"Not started"</formula>
    </cfRule>
  </conditionalFormatting>
  <dataValidations count="3">
    <dataValidation allowBlank="true" errorStyle="stop" operator="between" showDropDown="false" showErrorMessage="false" showInputMessage="false" sqref="D5:D14" type="list">
      <formula1>"Planning,Development,Maintenance"</formula1>
      <formula2>0</formula2>
    </dataValidation>
    <dataValidation allowBlank="true" errorStyle="stop" operator="between" showDropDown="false" showErrorMessage="false" showInputMessage="false" sqref="J5:J14" type="list">
      <formula1>"0,1,2,3,4"</formula1>
      <formula2>0</formula2>
    </dataValidation>
    <dataValidation allowBlank="true" errorStyle="stop" operator="between" showDropDown="false" showErrorMessage="false" showInputMessage="false" sqref="K5:K14" type="list">
      <formula1>"Not started,Pilot,Deployed"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78"/>
    <pageSetUpPr fitToPage="true"/>
  </sheetPr>
  <dimension ref="A1:W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7" min="5" style="0" width="11"/>
    <col collapsed="false" customWidth="true" hidden="false" outlineLevel="0" max="8" min="8" style="0" width="13"/>
    <col collapsed="false" customWidth="true" hidden="false" outlineLevel="0" max="11" min="9" style="0" width="12"/>
    <col collapsed="false" customWidth="true" hidden="false" outlineLevel="0" max="12" min="12" style="0" width="11"/>
    <col collapsed="false" customWidth="true" hidden="false" outlineLevel="0" max="14" min="13" style="0" width="12"/>
    <col collapsed="false" customWidth="true" hidden="false" outlineLevel="0" max="15" min="15" style="0" width="11"/>
    <col collapsed="false" customWidth="true" hidden="false" outlineLevel="0" max="17" min="16" style="0" width="13"/>
    <col collapsed="false" customWidth="true" hidden="false" outlineLevel="0" max="19" min="18" style="0" width="11"/>
    <col collapsed="false" customWidth="true" hidden="false" outlineLevel="0" max="21" min="20" style="0" width="12"/>
    <col collapsed="false" customWidth="true" hidden="false" outlineLevel="0" max="22" min="22" style="0" width="13"/>
    <col collapsed="false" customWidth="true" hidden="false" outlineLevel="0" max="23" min="23" style="0" width="40"/>
  </cols>
  <sheetData>
    <row r="1" customFormat="false" ht="21.75" hidden="false" customHeight="true" outlineLevel="0" collapsed="false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customFormat="false" ht="15" hidden="false" customHeight="false" outlineLevel="0" collapsed="false">
      <c r="D3" s="36" t="s">
        <v>82</v>
      </c>
      <c r="E3" s="36"/>
      <c r="F3" s="36"/>
      <c r="G3" s="36" t="s">
        <v>143</v>
      </c>
      <c r="H3" s="36"/>
      <c r="I3" s="36"/>
      <c r="J3" s="36"/>
      <c r="K3" s="36"/>
      <c r="L3" s="36"/>
      <c r="M3" s="36"/>
      <c r="N3" s="36"/>
      <c r="O3" s="36"/>
      <c r="P3" s="36" t="s">
        <v>144</v>
      </c>
      <c r="Q3" s="36"/>
      <c r="R3" s="36"/>
      <c r="S3" s="36" t="s">
        <v>145</v>
      </c>
      <c r="T3" s="36"/>
      <c r="U3" s="36"/>
    </row>
    <row r="4" customFormat="false" ht="39.75" hidden="false" customHeight="true" outlineLevel="0" collapsed="false">
      <c r="A4" s="12" t="s">
        <v>107</v>
      </c>
      <c r="B4" s="12" t="s">
        <v>93</v>
      </c>
      <c r="C4" s="12" t="s">
        <v>111</v>
      </c>
      <c r="D4" s="12" t="s">
        <v>146</v>
      </c>
      <c r="E4" s="12" t="s">
        <v>147</v>
      </c>
      <c r="F4" s="12" t="s">
        <v>43</v>
      </c>
      <c r="G4" s="12" t="s">
        <v>148</v>
      </c>
      <c r="H4" s="12" t="s">
        <v>149</v>
      </c>
      <c r="I4" s="12" t="s">
        <v>47</v>
      </c>
      <c r="J4" s="12" t="s">
        <v>150</v>
      </c>
      <c r="K4" s="12" t="s">
        <v>151</v>
      </c>
      <c r="L4" s="12" t="s">
        <v>152</v>
      </c>
      <c r="M4" s="12" t="s">
        <v>153</v>
      </c>
      <c r="N4" s="12" t="s">
        <v>154</v>
      </c>
      <c r="O4" s="12" t="s">
        <v>155</v>
      </c>
      <c r="P4" s="12" t="s">
        <v>156</v>
      </c>
      <c r="Q4" s="12" t="s">
        <v>157</v>
      </c>
      <c r="R4" s="12" t="s">
        <v>96</v>
      </c>
      <c r="S4" s="12" t="s">
        <v>158</v>
      </c>
      <c r="T4" s="12" t="s">
        <v>159</v>
      </c>
      <c r="U4" s="12" t="s">
        <v>160</v>
      </c>
      <c r="V4" s="12" t="s">
        <v>100</v>
      </c>
      <c r="W4" s="12" t="s">
        <v>161</v>
      </c>
    </row>
    <row r="5" customFormat="false" ht="23.85" hidden="false" customHeight="false" outlineLevel="0" collapsed="false">
      <c r="A5" s="23" t="str">
        <f aca="false">Projects!A5</f>
        <v>P01</v>
      </c>
      <c r="B5" s="9" t="str">
        <f aca="false">IF(Projects!B5="","",Projects!B5)</f>
        <v>Project A - Viewer platform (SAMPLE)</v>
      </c>
      <c r="C5" s="23" t="n">
        <f aca="false">IF(Projects!E5="","",Projects!E5)</f>
        <v>14</v>
      </c>
      <c r="D5" s="37" t="n">
        <v>14</v>
      </c>
      <c r="E5" s="37" t="n">
        <v>11</v>
      </c>
      <c r="F5" s="38" t="n">
        <f aca="false">IF(N(D5)&gt;0,E5/D5,"")</f>
        <v>0.785714285714286</v>
      </c>
      <c r="G5" s="37" t="n">
        <v>120</v>
      </c>
      <c r="H5" s="37" t="n">
        <v>48</v>
      </c>
      <c r="I5" s="38" t="n">
        <f aca="false">IF(N(G5)&gt;0,H5/G5,"")</f>
        <v>0.4</v>
      </c>
      <c r="J5" s="39" t="n">
        <v>2.4</v>
      </c>
      <c r="K5" s="39" t="n">
        <v>2.1</v>
      </c>
      <c r="L5" s="40" t="n">
        <f aca="false">IF(AND(N(J5)&gt;0,ISNUMBER(K5)),(K5-J5)/J5,"")</f>
        <v>-0.125</v>
      </c>
      <c r="M5" s="39" t="n">
        <v>6.8</v>
      </c>
      <c r="N5" s="39" t="n">
        <v>5.9</v>
      </c>
      <c r="O5" s="40" t="n">
        <f aca="false">IF(AND(N(M5)&gt;0,ISNUMBER(N5)),(N5-M5)/M5,"")</f>
        <v>-0.132352941176471</v>
      </c>
      <c r="P5" s="39" t="n">
        <v>52</v>
      </c>
      <c r="Q5" s="39" t="n">
        <v>44</v>
      </c>
      <c r="R5" s="40" t="n">
        <f aca="false">IF(AND(N(P5)&gt;0,ISNUMBER(Q5)),(Q5-P5)/P5,"")</f>
        <v>-0.153846153846154</v>
      </c>
      <c r="S5" s="37" t="n">
        <v>12</v>
      </c>
      <c r="T5" s="29" t="n">
        <v>0.75</v>
      </c>
      <c r="U5" s="39" t="n">
        <v>2.5</v>
      </c>
      <c r="V5" s="37" t="s">
        <v>162</v>
      </c>
      <c r="W5" s="32" t="s">
        <v>163</v>
      </c>
    </row>
    <row r="6" customFormat="false" ht="15" hidden="false" customHeight="false" outlineLevel="0" collapsed="false">
      <c r="A6" s="23" t="str">
        <f aca="false">Projects!A6</f>
        <v>P02</v>
      </c>
      <c r="B6" s="9" t="str">
        <f aca="false">IF(Projects!B6="","",Projects!B6)</f>
        <v>Project B - Integration services (SAMPLE)</v>
      </c>
      <c r="C6" s="23" t="n">
        <f aca="false">IF(Projects!E6="","",Projects!E6)</f>
        <v>9</v>
      </c>
      <c r="D6" s="37" t="n">
        <v>9</v>
      </c>
      <c r="E6" s="37" t="n">
        <v>5</v>
      </c>
      <c r="F6" s="38" t="n">
        <f aca="false">IF(N(D6)&gt;0,E6/D6,"")</f>
        <v>0.555555555555556</v>
      </c>
      <c r="G6" s="37" t="n">
        <v>70</v>
      </c>
      <c r="H6" s="37" t="n">
        <v>14</v>
      </c>
      <c r="I6" s="38" t="n">
        <f aca="false">IF(N(G6)&gt;0,H6/G6,"")</f>
        <v>0.2</v>
      </c>
      <c r="J6" s="39" t="n">
        <v>2.1</v>
      </c>
      <c r="K6" s="39" t="n">
        <v>2</v>
      </c>
      <c r="L6" s="40" t="n">
        <f aca="false">IF(AND(N(J6)&gt;0,ISNUMBER(K6)),(K6-J6)/J6,"")</f>
        <v>-0.0476190476190477</v>
      </c>
      <c r="M6" s="39" t="n">
        <v>5.2</v>
      </c>
      <c r="N6" s="39" t="n">
        <v>5</v>
      </c>
      <c r="O6" s="40" t="n">
        <f aca="false">IF(AND(N(M6)&gt;0,ISNUMBER(N6)),(N6-M6)/M6,"")</f>
        <v>-0.0384615384615385</v>
      </c>
      <c r="P6" s="39" t="n">
        <v>46</v>
      </c>
      <c r="Q6" s="39" t="n">
        <v>42</v>
      </c>
      <c r="R6" s="40" t="n">
        <f aca="false">IF(AND(N(P6)&gt;0,ISNUMBER(Q6)),(Q6-P6)/P6,"")</f>
        <v>-0.0869565217391304</v>
      </c>
      <c r="S6" s="37" t="n">
        <v>7</v>
      </c>
      <c r="T6" s="29" t="n">
        <v>0.57</v>
      </c>
      <c r="U6" s="39" t="n">
        <v>1.5</v>
      </c>
      <c r="V6" s="37" t="s">
        <v>164</v>
      </c>
      <c r="W6" s="32" t="s">
        <v>165</v>
      </c>
    </row>
    <row r="7" customFormat="false" ht="15" hidden="false" customHeight="false" outlineLevel="0" collapsed="false">
      <c r="A7" s="23" t="str">
        <f aca="false">Projects!A7</f>
        <v>P03</v>
      </c>
      <c r="B7" s="9" t="str">
        <f aca="false">IF(Projects!B7="","",Projects!B7)</f>
        <v/>
      </c>
      <c r="C7" s="23" t="str">
        <f aca="false">IF(Projects!E7="","",Projects!E7)</f>
        <v/>
      </c>
      <c r="D7" s="37"/>
      <c r="E7" s="37"/>
      <c r="F7" s="38" t="str">
        <f aca="false">IF(N(D7)&gt;0,E7/D7,"")</f>
        <v/>
      </c>
      <c r="G7" s="37"/>
      <c r="H7" s="37"/>
      <c r="I7" s="38" t="str">
        <f aca="false">IF(N(G7)&gt;0,H7/G7,"")</f>
        <v/>
      </c>
      <c r="J7" s="39"/>
      <c r="K7" s="39"/>
      <c r="L7" s="40" t="str">
        <f aca="false">IF(AND(N(J7)&gt;0,ISNUMBER(K7)),(K7-J7)/J7,"")</f>
        <v/>
      </c>
      <c r="M7" s="39"/>
      <c r="N7" s="39"/>
      <c r="O7" s="40" t="str">
        <f aca="false">IF(AND(N(M7)&gt;0,ISNUMBER(N7)),(N7-M7)/M7,"")</f>
        <v/>
      </c>
      <c r="P7" s="39"/>
      <c r="Q7" s="39"/>
      <c r="R7" s="40" t="str">
        <f aca="false">IF(AND(N(P7)&gt;0,ISNUMBER(Q7)),(Q7-P7)/P7,"")</f>
        <v/>
      </c>
      <c r="S7" s="37"/>
      <c r="T7" s="29"/>
      <c r="U7" s="39"/>
      <c r="V7" s="37"/>
      <c r="W7" s="32"/>
    </row>
    <row r="8" customFormat="false" ht="15" hidden="false" customHeight="false" outlineLevel="0" collapsed="false">
      <c r="A8" s="23" t="str">
        <f aca="false">Projects!A8</f>
        <v>P04</v>
      </c>
      <c r="B8" s="9" t="str">
        <f aca="false">IF(Projects!B8="","",Projects!B8)</f>
        <v/>
      </c>
      <c r="C8" s="23" t="str">
        <f aca="false">IF(Projects!E8="","",Projects!E8)</f>
        <v/>
      </c>
      <c r="D8" s="37"/>
      <c r="E8" s="37"/>
      <c r="F8" s="38" t="str">
        <f aca="false">IF(N(D8)&gt;0,E8/D8,"")</f>
        <v/>
      </c>
      <c r="G8" s="37"/>
      <c r="H8" s="37"/>
      <c r="I8" s="38" t="str">
        <f aca="false">IF(N(G8)&gt;0,H8/G8,"")</f>
        <v/>
      </c>
      <c r="J8" s="39"/>
      <c r="K8" s="39"/>
      <c r="L8" s="40" t="str">
        <f aca="false">IF(AND(N(J8)&gt;0,ISNUMBER(K8)),(K8-J8)/J8,"")</f>
        <v/>
      </c>
      <c r="M8" s="39"/>
      <c r="N8" s="39"/>
      <c r="O8" s="40" t="str">
        <f aca="false">IF(AND(N(M8)&gt;0,ISNUMBER(N8)),(N8-M8)/M8,"")</f>
        <v/>
      </c>
      <c r="P8" s="39"/>
      <c r="Q8" s="39"/>
      <c r="R8" s="40" t="str">
        <f aca="false">IF(AND(N(P8)&gt;0,ISNUMBER(Q8)),(Q8-P8)/P8,"")</f>
        <v/>
      </c>
      <c r="S8" s="37"/>
      <c r="T8" s="29"/>
      <c r="U8" s="39"/>
      <c r="V8" s="37"/>
      <c r="W8" s="32"/>
    </row>
    <row r="9" customFormat="false" ht="15" hidden="false" customHeight="false" outlineLevel="0" collapsed="false">
      <c r="A9" s="23" t="str">
        <f aca="false">Projects!A9</f>
        <v>P05</v>
      </c>
      <c r="B9" s="9" t="str">
        <f aca="false">IF(Projects!B9="","",Projects!B9)</f>
        <v/>
      </c>
      <c r="C9" s="23" t="str">
        <f aca="false">IF(Projects!E9="","",Projects!E9)</f>
        <v/>
      </c>
      <c r="D9" s="37"/>
      <c r="E9" s="37"/>
      <c r="F9" s="38" t="str">
        <f aca="false">IF(N(D9)&gt;0,E9/D9,"")</f>
        <v/>
      </c>
      <c r="G9" s="37"/>
      <c r="H9" s="37"/>
      <c r="I9" s="38" t="str">
        <f aca="false">IF(N(G9)&gt;0,H9/G9,"")</f>
        <v/>
      </c>
      <c r="J9" s="39"/>
      <c r="K9" s="39"/>
      <c r="L9" s="40" t="str">
        <f aca="false">IF(AND(N(J9)&gt;0,ISNUMBER(K9)),(K9-J9)/J9,"")</f>
        <v/>
      </c>
      <c r="M9" s="39"/>
      <c r="N9" s="39"/>
      <c r="O9" s="40" t="str">
        <f aca="false">IF(AND(N(M9)&gt;0,ISNUMBER(N9)),(N9-M9)/M9,"")</f>
        <v/>
      </c>
      <c r="P9" s="39"/>
      <c r="Q9" s="39"/>
      <c r="R9" s="40" t="str">
        <f aca="false">IF(AND(N(P9)&gt;0,ISNUMBER(Q9)),(Q9-P9)/P9,"")</f>
        <v/>
      </c>
      <c r="S9" s="37"/>
      <c r="T9" s="29"/>
      <c r="U9" s="39"/>
      <c r="V9" s="37"/>
      <c r="W9" s="32"/>
    </row>
    <row r="10" customFormat="false" ht="15" hidden="false" customHeight="false" outlineLevel="0" collapsed="false">
      <c r="A10" s="23" t="str">
        <f aca="false">Projects!A10</f>
        <v>P06</v>
      </c>
      <c r="B10" s="9" t="str">
        <f aca="false">IF(Projects!B10="","",Projects!B10)</f>
        <v/>
      </c>
      <c r="C10" s="23" t="str">
        <f aca="false">IF(Projects!E10="","",Projects!E10)</f>
        <v/>
      </c>
      <c r="D10" s="37"/>
      <c r="E10" s="37"/>
      <c r="F10" s="38" t="str">
        <f aca="false">IF(N(D10)&gt;0,E10/D10,"")</f>
        <v/>
      </c>
      <c r="G10" s="37"/>
      <c r="H10" s="37"/>
      <c r="I10" s="38" t="str">
        <f aca="false">IF(N(G10)&gt;0,H10/G10,"")</f>
        <v/>
      </c>
      <c r="J10" s="39"/>
      <c r="K10" s="39"/>
      <c r="L10" s="40" t="str">
        <f aca="false">IF(AND(N(J10)&gt;0,ISNUMBER(K10)),(K10-J10)/J10,"")</f>
        <v/>
      </c>
      <c r="M10" s="39"/>
      <c r="N10" s="39"/>
      <c r="O10" s="40" t="str">
        <f aca="false">IF(AND(N(M10)&gt;0,ISNUMBER(N10)),(N10-M10)/M10,"")</f>
        <v/>
      </c>
      <c r="P10" s="39"/>
      <c r="Q10" s="39"/>
      <c r="R10" s="40" t="str">
        <f aca="false">IF(AND(N(P10)&gt;0,ISNUMBER(Q10)),(Q10-P10)/P10,"")</f>
        <v/>
      </c>
      <c r="S10" s="37"/>
      <c r="T10" s="29"/>
      <c r="U10" s="39"/>
      <c r="V10" s="37"/>
      <c r="W10" s="32"/>
    </row>
    <row r="11" customFormat="false" ht="15" hidden="false" customHeight="false" outlineLevel="0" collapsed="false">
      <c r="A11" s="23" t="str">
        <f aca="false">Projects!A11</f>
        <v>P07</v>
      </c>
      <c r="B11" s="9" t="str">
        <f aca="false">IF(Projects!B11="","",Projects!B11)</f>
        <v/>
      </c>
      <c r="C11" s="23" t="str">
        <f aca="false">IF(Projects!E11="","",Projects!E11)</f>
        <v/>
      </c>
      <c r="D11" s="37"/>
      <c r="E11" s="37"/>
      <c r="F11" s="38" t="str">
        <f aca="false">IF(N(D11)&gt;0,E11/D11,"")</f>
        <v/>
      </c>
      <c r="G11" s="37"/>
      <c r="H11" s="37"/>
      <c r="I11" s="38" t="str">
        <f aca="false">IF(N(G11)&gt;0,H11/G11,"")</f>
        <v/>
      </c>
      <c r="J11" s="39"/>
      <c r="K11" s="39"/>
      <c r="L11" s="40" t="str">
        <f aca="false">IF(AND(N(J11)&gt;0,ISNUMBER(K11)),(K11-J11)/J11,"")</f>
        <v/>
      </c>
      <c r="M11" s="39"/>
      <c r="N11" s="39"/>
      <c r="O11" s="40" t="str">
        <f aca="false">IF(AND(N(M11)&gt;0,ISNUMBER(N11)),(N11-M11)/M11,"")</f>
        <v/>
      </c>
      <c r="P11" s="39"/>
      <c r="Q11" s="39"/>
      <c r="R11" s="40" t="str">
        <f aca="false">IF(AND(N(P11)&gt;0,ISNUMBER(Q11)),(Q11-P11)/P11,"")</f>
        <v/>
      </c>
      <c r="S11" s="37"/>
      <c r="T11" s="29"/>
      <c r="U11" s="39"/>
      <c r="V11" s="37"/>
      <c r="W11" s="32"/>
    </row>
    <row r="12" customFormat="false" ht="15" hidden="false" customHeight="false" outlineLevel="0" collapsed="false">
      <c r="A12" s="23" t="str">
        <f aca="false">Projects!A12</f>
        <v>P08</v>
      </c>
      <c r="B12" s="9" t="str">
        <f aca="false">IF(Projects!B12="","",Projects!B12)</f>
        <v/>
      </c>
      <c r="C12" s="23" t="str">
        <f aca="false">IF(Projects!E12="","",Projects!E12)</f>
        <v/>
      </c>
      <c r="D12" s="37"/>
      <c r="E12" s="37"/>
      <c r="F12" s="38" t="str">
        <f aca="false">IF(N(D12)&gt;0,E12/D12,"")</f>
        <v/>
      </c>
      <c r="G12" s="37"/>
      <c r="H12" s="37"/>
      <c r="I12" s="38" t="str">
        <f aca="false">IF(N(G12)&gt;0,H12/G12,"")</f>
        <v/>
      </c>
      <c r="J12" s="39"/>
      <c r="K12" s="39"/>
      <c r="L12" s="40" t="str">
        <f aca="false">IF(AND(N(J12)&gt;0,ISNUMBER(K12)),(K12-J12)/J12,"")</f>
        <v/>
      </c>
      <c r="M12" s="39"/>
      <c r="N12" s="39"/>
      <c r="O12" s="40" t="str">
        <f aca="false">IF(AND(N(M12)&gt;0,ISNUMBER(N12)),(N12-M12)/M12,"")</f>
        <v/>
      </c>
      <c r="P12" s="39"/>
      <c r="Q12" s="39"/>
      <c r="R12" s="40" t="str">
        <f aca="false">IF(AND(N(P12)&gt;0,ISNUMBER(Q12)),(Q12-P12)/P12,"")</f>
        <v/>
      </c>
      <c r="S12" s="37"/>
      <c r="T12" s="29"/>
      <c r="U12" s="39"/>
      <c r="V12" s="37"/>
      <c r="W12" s="32"/>
    </row>
    <row r="13" customFormat="false" ht="15" hidden="false" customHeight="false" outlineLevel="0" collapsed="false">
      <c r="A13" s="23" t="str">
        <f aca="false">Projects!A13</f>
        <v>P09</v>
      </c>
      <c r="B13" s="9" t="str">
        <f aca="false">IF(Projects!B13="","",Projects!B13)</f>
        <v/>
      </c>
      <c r="C13" s="23" t="str">
        <f aca="false">IF(Projects!E13="","",Projects!E13)</f>
        <v/>
      </c>
      <c r="D13" s="37"/>
      <c r="E13" s="37"/>
      <c r="F13" s="38" t="str">
        <f aca="false">IF(N(D13)&gt;0,E13/D13,"")</f>
        <v/>
      </c>
      <c r="G13" s="37"/>
      <c r="H13" s="37"/>
      <c r="I13" s="38" t="str">
        <f aca="false">IF(N(G13)&gt;0,H13/G13,"")</f>
        <v/>
      </c>
      <c r="J13" s="39"/>
      <c r="K13" s="39"/>
      <c r="L13" s="40" t="str">
        <f aca="false">IF(AND(N(J13)&gt;0,ISNUMBER(K13)),(K13-J13)/J13,"")</f>
        <v/>
      </c>
      <c r="M13" s="39"/>
      <c r="N13" s="39"/>
      <c r="O13" s="40" t="str">
        <f aca="false">IF(AND(N(M13)&gt;0,ISNUMBER(N13)),(N13-M13)/M13,"")</f>
        <v/>
      </c>
      <c r="P13" s="39"/>
      <c r="Q13" s="39"/>
      <c r="R13" s="40" t="str">
        <f aca="false">IF(AND(N(P13)&gt;0,ISNUMBER(Q13)),(Q13-P13)/P13,"")</f>
        <v/>
      </c>
      <c r="S13" s="37"/>
      <c r="T13" s="29"/>
      <c r="U13" s="39"/>
      <c r="V13" s="37"/>
      <c r="W13" s="32"/>
    </row>
    <row r="14" customFormat="false" ht="15" hidden="false" customHeight="false" outlineLevel="0" collapsed="false">
      <c r="A14" s="23" t="str">
        <f aca="false">Projects!A14</f>
        <v>P10</v>
      </c>
      <c r="B14" s="9" t="str">
        <f aca="false">IF(Projects!B14="","",Projects!B14)</f>
        <v/>
      </c>
      <c r="C14" s="23" t="str">
        <f aca="false">IF(Projects!E14="","",Projects!E14)</f>
        <v/>
      </c>
      <c r="D14" s="37"/>
      <c r="E14" s="37"/>
      <c r="F14" s="38" t="str">
        <f aca="false">IF(N(D14)&gt;0,E14/D14,"")</f>
        <v/>
      </c>
      <c r="G14" s="37"/>
      <c r="H14" s="37"/>
      <c r="I14" s="38" t="str">
        <f aca="false">IF(N(G14)&gt;0,H14/G14,"")</f>
        <v/>
      </c>
      <c r="J14" s="39"/>
      <c r="K14" s="39"/>
      <c r="L14" s="40" t="str">
        <f aca="false">IF(AND(N(J14)&gt;0,ISNUMBER(K14)),(K14-J14)/J14,"")</f>
        <v/>
      </c>
      <c r="M14" s="39"/>
      <c r="N14" s="39"/>
      <c r="O14" s="40" t="str">
        <f aca="false">IF(AND(N(M14)&gt;0,ISNUMBER(N14)),(N14-M14)/M14,"")</f>
        <v/>
      </c>
      <c r="P14" s="39"/>
      <c r="Q14" s="39"/>
      <c r="R14" s="40" t="str">
        <f aca="false">IF(AND(N(P14)&gt;0,ISNUMBER(Q14)),(Q14-P14)/P14,"")</f>
        <v/>
      </c>
      <c r="S14" s="37"/>
      <c r="T14" s="29"/>
      <c r="U14" s="39"/>
      <c r="V14" s="37"/>
      <c r="W14" s="32"/>
    </row>
    <row r="15" customFormat="false" ht="15" hidden="false" customHeight="false" outlineLevel="0" collapsed="false">
      <c r="A15" s="34"/>
      <c r="B15" s="35" t="s">
        <v>166</v>
      </c>
      <c r="C15" s="41" t="n">
        <f aca="false">SUM(C5:C14)</f>
        <v>23</v>
      </c>
      <c r="D15" s="41" t="n">
        <f aca="false">SUM(D5:D14)</f>
        <v>23</v>
      </c>
      <c r="E15" s="41" t="n">
        <f aca="false">SUM(E5:E14)</f>
        <v>16</v>
      </c>
      <c r="F15" s="42" t="n">
        <f aca="false">IF(D15&gt;0,E15/D15,"")</f>
        <v>0.695652173913044</v>
      </c>
      <c r="G15" s="41" t="n">
        <f aca="false">SUM(G5:G14)</f>
        <v>190</v>
      </c>
      <c r="H15" s="41" t="n">
        <f aca="false">SUM(H5:H14)</f>
        <v>62</v>
      </c>
      <c r="I15" s="42" t="n">
        <f aca="false">IF(G15&gt;0,H15/G15,"")</f>
        <v>0.326315789473684</v>
      </c>
      <c r="J15" s="34"/>
      <c r="K15" s="34"/>
      <c r="L15" s="43" t="n">
        <f aca="false">IFERROR(MEDIAN(L5:L14),"")</f>
        <v>-0.0863095238095238</v>
      </c>
      <c r="M15" s="34"/>
      <c r="N15" s="34"/>
      <c r="O15" s="43" t="n">
        <f aca="false">IFERROR(MEDIAN(O5:O14),"")</f>
        <v>-0.0854072398190045</v>
      </c>
      <c r="P15" s="34"/>
      <c r="Q15" s="34"/>
      <c r="R15" s="43" t="n">
        <f aca="false">IFERROR(MEDIAN(R5:R14),"")</f>
        <v>-0.120401337792642</v>
      </c>
      <c r="S15" s="41" t="n">
        <f aca="false">SUM(S5:S14)</f>
        <v>19</v>
      </c>
      <c r="T15" s="42" t="n">
        <f aca="false">IF(S15&gt;0,SUMPRODUCT(S5:S14,T5:T14)/S15,"")</f>
        <v>0.683684210526316</v>
      </c>
      <c r="U15" s="44" t="n">
        <f aca="false">IF(S15&gt;0,SUMPRODUCT(S5:S14,U5:U14)/S15,"")</f>
        <v>2.13157894736842</v>
      </c>
      <c r="V15" s="34"/>
      <c r="W15" s="34"/>
    </row>
    <row r="17" customFormat="false" ht="15" hidden="false" customHeight="false" outlineLevel="0" collapsed="false">
      <c r="B17" s="30" t="s">
        <v>167</v>
      </c>
    </row>
    <row r="18" customFormat="false" ht="15" hidden="false" customHeight="false" outlineLevel="0" collapsed="false">
      <c r="B18" s="30" t="s">
        <v>168</v>
      </c>
    </row>
  </sheetData>
  <mergeCells count="5">
    <mergeCell ref="A1:W2"/>
    <mergeCell ref="D3:F3"/>
    <mergeCell ref="G3:O3"/>
    <mergeCell ref="P3:R3"/>
    <mergeCell ref="S3:U3"/>
  </mergeCells>
  <conditionalFormatting sqref="L5:L15">
    <cfRule type="cellIs" priority="2" operator="lessThan" aboveAverage="0" equalAverage="0" bottom="0" percent="0" rank="0" text="" dxfId="0">
      <formula>0</formula>
    </cfRule>
    <cfRule type="expression" priority="3" aboveAverage="0" equalAverage="0" bottom="0" percent="0" rank="0" text="" dxfId="1">
      <formula>AND(ISNUMBER(L5),L5&gt;0)</formula>
    </cfRule>
  </conditionalFormatting>
  <conditionalFormatting sqref="O5:O15">
    <cfRule type="cellIs" priority="4" operator="lessThan" aboveAverage="0" equalAverage="0" bottom="0" percent="0" rank="0" text="" dxfId="0">
      <formula>0</formula>
    </cfRule>
    <cfRule type="expression" priority="5" aboveAverage="0" equalAverage="0" bottom="0" percent="0" rank="0" text="" dxfId="1">
      <formula>AND(ISNUMBER(O5),O5&gt;0)</formula>
    </cfRule>
  </conditionalFormatting>
  <conditionalFormatting sqref="R5:R15">
    <cfRule type="cellIs" priority="6" operator="lessThan" aboveAverage="0" equalAverage="0" bottom="0" percent="0" rank="0" text="" dxfId="0">
      <formula>0</formula>
    </cfRule>
    <cfRule type="expression" priority="7" aboveAverage="0" equalAverage="0" bottom="0" percent="0" rank="0" text="" dxfId="1">
      <formula>AND(ISNUMBER(R5),R5&gt;0)</formula>
    </cfRule>
  </conditionalFormatting>
  <conditionalFormatting sqref="F5:F14">
    <cfRule type="dataBar" priority="8">
      <dataBar showValue="1" minLength="10" maxLength="90">
        <cfvo type="num" val="0"/>
        <cfvo type="num" val="1"/>
        <color rgb="FF1F6F78"/>
      </dataBar>
      <extLst>
        <ext xmlns:x14="http://schemas.microsoft.com/office/spreadsheetml/2009/9/main" uri="{B025F937-C7B1-47D3-B67F-A62EFF666E3E}">
          <x14:id>{82671172-70A7-4835-A8FB-D14A6018A35B}</x14:id>
        </ext>
      </extLst>
    </cfRule>
  </conditionalFormatting>
  <conditionalFormatting sqref="I5:I14">
    <cfRule type="dataBar" priority="9">
      <dataBar showValue="1" minLength="10" maxLength="90">
        <cfvo type="num" val="0"/>
        <cfvo type="num" val="1"/>
        <color rgb="FFE8A33D"/>
      </dataBar>
      <extLst>
        <ext xmlns:x14="http://schemas.microsoft.com/office/spreadsheetml/2009/9/main" uri="{B025F937-C7B1-47D3-B67F-A62EFF666E3E}">
          <x14:id>{33EA9DA0-678F-4313-973A-ECC3FE8029F0}</x14:id>
        </ext>
      </extLst>
    </cfRule>
  </conditionalFormatting>
  <conditionalFormatting sqref="V5:V14">
    <cfRule type="cellIs" priority="10" operator="equal" aboveAverage="0" equalAverage="0" bottom="0" percent="0" rank="0" text="" dxfId="2">
      <formula>"Measured"</formula>
    </cfRule>
    <cfRule type="cellIs" priority="11" operator="equal" aboveAverage="0" equalAverage="0" bottom="0" percent="0" rank="0" text="" dxfId="3">
      <formula>"Estimated"</formula>
    </cfRule>
    <cfRule type="cellIs" priority="12" operator="equal" aboveAverage="0" equalAverage="0" bottom="0" percent="0" rank="0" text="" dxfId="5">
      <formula>"Survey"</formula>
    </cfRule>
  </conditionalFormatting>
  <dataValidations count="1">
    <dataValidation allowBlank="true" errorStyle="stop" operator="between" showDropDown="false" showErrorMessage="false" showInputMessage="false" sqref="V5:V14" type="list">
      <formula1>"Measured,Estimated,Survey"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671172-70A7-4835-A8FB-D14A6018A35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6F78"/>
              <x14:axisColor rgb="FF000000"/>
            </x14:dataBar>
          </x14:cfRule>
          <xm:sqref>F5:F14</xm:sqref>
        </x14:conditionalFormatting>
        <x14:conditionalFormatting xmlns:xm="http://schemas.microsoft.com/office/excel/2006/main">
          <x14:cfRule type="dataBar" id="{33EA9DA0-678F-4313-973A-ECC3FE8029F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E8A33D"/>
              <x14:axisColor rgb="FF000000"/>
            </x14:dataBar>
          </x14:cfRule>
          <xm:sqref>I5:I14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78"/>
    <pageSetUpPr fitToPage="true"/>
  </sheetPr>
  <dimension ref="A1:R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7" min="6" style="0" width="12"/>
    <col collapsed="false" customWidth="true" hidden="false" outlineLevel="0" max="9" min="8" style="0" width="11"/>
    <col collapsed="false" customWidth="true" hidden="false" outlineLevel="0" max="10" min="10" style="0" width="3"/>
    <col collapsed="false" customWidth="true" hidden="false" outlineLevel="0" max="11" min="11" style="0" width="11"/>
    <col collapsed="false" customWidth="true" hidden="false" outlineLevel="0" max="13" min="12" style="0" width="10"/>
    <col collapsed="false" customWidth="true" hidden="false" outlineLevel="0" max="15" min="14" style="0" width="11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3"/>
  </cols>
  <sheetData>
    <row r="1" customFormat="false" ht="21.75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A3" s="36" t="s">
        <v>169</v>
      </c>
      <c r="B3" s="36"/>
      <c r="C3" s="36"/>
      <c r="D3" s="36"/>
      <c r="E3" s="36"/>
      <c r="F3" s="36"/>
      <c r="G3" s="36"/>
      <c r="H3" s="36"/>
      <c r="I3" s="36"/>
      <c r="K3" s="45" t="s">
        <v>170</v>
      </c>
      <c r="L3" s="45"/>
      <c r="M3" s="45"/>
      <c r="N3" s="45"/>
      <c r="O3" s="45"/>
      <c r="P3" s="45"/>
      <c r="Q3" s="45"/>
      <c r="R3" s="45"/>
    </row>
    <row r="4" customFormat="false" ht="39.75" hidden="false" customHeight="true" outlineLevel="0" collapsed="false">
      <c r="A4" s="12" t="s">
        <v>171</v>
      </c>
      <c r="B4" s="12" t="s">
        <v>172</v>
      </c>
      <c r="C4" s="12" t="s">
        <v>173</v>
      </c>
      <c r="D4" s="12" t="s">
        <v>174</v>
      </c>
      <c r="E4" s="12" t="s">
        <v>175</v>
      </c>
      <c r="F4" s="12" t="s">
        <v>176</v>
      </c>
      <c r="G4" s="12" t="s">
        <v>177</v>
      </c>
      <c r="H4" s="12" t="s">
        <v>43</v>
      </c>
      <c r="I4" s="12" t="s">
        <v>94</v>
      </c>
      <c r="K4" s="12" t="s">
        <v>172</v>
      </c>
      <c r="L4" s="12" t="s">
        <v>173</v>
      </c>
      <c r="M4" s="12" t="s">
        <v>178</v>
      </c>
      <c r="N4" s="12" t="s">
        <v>43</v>
      </c>
      <c r="O4" s="12" t="s">
        <v>175</v>
      </c>
      <c r="P4" s="12" t="s">
        <v>176</v>
      </c>
      <c r="Q4" s="12" t="s">
        <v>94</v>
      </c>
      <c r="R4" s="12" t="s">
        <v>179</v>
      </c>
    </row>
    <row r="5" customFormat="false" ht="15" hidden="false" customHeight="false" outlineLevel="0" collapsed="false">
      <c r="A5" s="37" t="s">
        <v>118</v>
      </c>
      <c r="B5" s="46" t="n">
        <v>46113</v>
      </c>
      <c r="C5" s="37" t="n">
        <v>8</v>
      </c>
      <c r="D5" s="37" t="n">
        <v>3</v>
      </c>
      <c r="E5" s="37" t="n">
        <v>35</v>
      </c>
      <c r="F5" s="37" t="n">
        <v>0</v>
      </c>
      <c r="G5" s="39" t="n">
        <v>2.5</v>
      </c>
      <c r="H5" s="38" t="n">
        <f aca="false">IF(N(C5)&gt;0,D5/C5,"")</f>
        <v>0.375</v>
      </c>
      <c r="I5" s="38" t="n">
        <f aca="false">IF(N(E5)&gt;0,F5/E5,"")</f>
        <v>0</v>
      </c>
      <c r="K5" s="46" t="n">
        <v>46113</v>
      </c>
      <c r="L5" s="47" t="n">
        <f aca="false">SUMIFS($C$5:$C$64,$B$5:$B$64,K5)</f>
        <v>17</v>
      </c>
      <c r="M5" s="47" t="n">
        <f aca="false">SUMIFS($D$5:$D$64,$B$5:$B$64,K5)</f>
        <v>5</v>
      </c>
      <c r="N5" s="38" t="n">
        <f aca="false">IF(L5&gt;0,M5/L5,"")</f>
        <v>0.294117647058824</v>
      </c>
      <c r="O5" s="47" t="n">
        <f aca="false">SUMIFS($E$5:$E$64,$B$5:$B$64,K5)</f>
        <v>57</v>
      </c>
      <c r="P5" s="47" t="n">
        <f aca="false">SUMIFS($F$5:$F$64,$B$5:$B$64,K5)</f>
        <v>0</v>
      </c>
      <c r="Q5" s="38" t="n">
        <f aca="false">IF(O5&gt;0,P5/O5,"")</f>
        <v>0</v>
      </c>
      <c r="R5" s="48" t="n">
        <f aca="false">IFERROR(AVERAGEIFS($G$5:$G$64,$B$5:$B$64,K5),"")</f>
        <v>2.3</v>
      </c>
    </row>
    <row r="6" customFormat="false" ht="15" hidden="false" customHeight="false" outlineLevel="0" collapsed="false">
      <c r="A6" s="37" t="s">
        <v>118</v>
      </c>
      <c r="B6" s="46" t="n">
        <v>46143</v>
      </c>
      <c r="C6" s="37" t="n">
        <v>14</v>
      </c>
      <c r="D6" s="37" t="n">
        <v>6</v>
      </c>
      <c r="E6" s="37" t="n">
        <v>37</v>
      </c>
      <c r="F6" s="37" t="n">
        <v>2</v>
      </c>
      <c r="G6" s="39" t="n">
        <v>2.4</v>
      </c>
      <c r="H6" s="38" t="n">
        <f aca="false">IF(N(C6)&gt;0,D6/C6,"")</f>
        <v>0.428571428571429</v>
      </c>
      <c r="I6" s="38" t="n">
        <f aca="false">IF(N(E6)&gt;0,F6/E6,"")</f>
        <v>0.0540540540540541</v>
      </c>
      <c r="K6" s="46" t="n">
        <v>46143</v>
      </c>
      <c r="L6" s="47" t="n">
        <f aca="false">SUMIFS($C$5:$C$64,$B$5:$B$64,K6)</f>
        <v>23</v>
      </c>
      <c r="M6" s="47" t="n">
        <f aca="false">SUMIFS($D$5:$D$64,$B$5:$B$64,K6)</f>
        <v>9</v>
      </c>
      <c r="N6" s="38" t="n">
        <f aca="false">IF(L6&gt;0,M6/L6,"")</f>
        <v>0.391304347826087</v>
      </c>
      <c r="O6" s="47" t="n">
        <f aca="false">SUMIFS($E$5:$E$64,$B$5:$B$64,K6)</f>
        <v>60</v>
      </c>
      <c r="P6" s="47" t="n">
        <f aca="false">SUMIFS($F$5:$F$64,$B$5:$B$64,K6)</f>
        <v>2</v>
      </c>
      <c r="Q6" s="38" t="n">
        <f aca="false">IF(O6&gt;0,P6/O6,"")</f>
        <v>0.0333333333333333</v>
      </c>
      <c r="R6" s="48" t="n">
        <f aca="false">IFERROR(AVERAGEIFS($G$5:$G$64,$B$5:$B$64,K6),"")</f>
        <v>2.25</v>
      </c>
    </row>
    <row r="7" customFormat="false" ht="15" hidden="false" customHeight="false" outlineLevel="0" collapsed="false">
      <c r="A7" s="37" t="s">
        <v>118</v>
      </c>
      <c r="B7" s="46" t="n">
        <v>46174</v>
      </c>
      <c r="C7" s="37" t="n">
        <v>14</v>
      </c>
      <c r="D7" s="37" t="n">
        <v>8</v>
      </c>
      <c r="E7" s="37" t="n">
        <v>39</v>
      </c>
      <c r="F7" s="37" t="n">
        <v>6</v>
      </c>
      <c r="G7" s="39" t="n">
        <v>2.3</v>
      </c>
      <c r="H7" s="38" t="n">
        <f aca="false">IF(N(C7)&gt;0,D7/C7,"")</f>
        <v>0.571428571428571</v>
      </c>
      <c r="I7" s="38" t="n">
        <f aca="false">IF(N(E7)&gt;0,F7/E7,"")</f>
        <v>0.153846153846154</v>
      </c>
      <c r="K7" s="46" t="n">
        <v>46174</v>
      </c>
      <c r="L7" s="47" t="n">
        <f aca="false">SUMIFS($C$5:$C$64,$B$5:$B$64,K7)</f>
        <v>23</v>
      </c>
      <c r="M7" s="47" t="n">
        <f aca="false">SUMIFS($D$5:$D$64,$B$5:$B$64,K7)</f>
        <v>12</v>
      </c>
      <c r="N7" s="38" t="n">
        <f aca="false">IF(L7&gt;0,M7/L7,"")</f>
        <v>0.521739130434783</v>
      </c>
      <c r="O7" s="47" t="n">
        <f aca="false">SUMIFS($E$5:$E$64,$B$5:$B$64,K7)</f>
        <v>61</v>
      </c>
      <c r="P7" s="47" t="n">
        <f aca="false">SUMIFS($F$5:$F$64,$B$5:$B$64,K7)</f>
        <v>7</v>
      </c>
      <c r="Q7" s="38" t="n">
        <f aca="false">IF(O7&gt;0,P7/O7,"")</f>
        <v>0.114754098360656</v>
      </c>
      <c r="R7" s="48" t="n">
        <f aca="false">IFERROR(AVERAGEIFS($G$5:$G$64,$B$5:$B$64,K7),"")</f>
        <v>2.25</v>
      </c>
    </row>
    <row r="8" customFormat="false" ht="15" hidden="false" customHeight="false" outlineLevel="0" collapsed="false">
      <c r="A8" s="37" t="s">
        <v>118</v>
      </c>
      <c r="B8" s="46" t="n">
        <v>46204</v>
      </c>
      <c r="C8" s="37" t="n">
        <v>14</v>
      </c>
      <c r="D8" s="37" t="n">
        <v>9</v>
      </c>
      <c r="E8" s="37" t="n">
        <v>38</v>
      </c>
      <c r="F8" s="37" t="n">
        <v>12</v>
      </c>
      <c r="G8" s="39" t="n">
        <v>2.2</v>
      </c>
      <c r="H8" s="38" t="n">
        <f aca="false">IF(N(C8)&gt;0,D8/C8,"")</f>
        <v>0.642857142857143</v>
      </c>
      <c r="I8" s="38" t="n">
        <f aca="false">IF(N(E8)&gt;0,F8/E8,"")</f>
        <v>0.315789473684211</v>
      </c>
      <c r="K8" s="46" t="n">
        <v>46204</v>
      </c>
      <c r="L8" s="47" t="n">
        <f aca="false">SUMIFS($C$5:$C$64,$B$5:$B$64,K8)</f>
        <v>23</v>
      </c>
      <c r="M8" s="47" t="n">
        <f aca="false">SUMIFS($D$5:$D$64,$B$5:$B$64,K8)</f>
        <v>14</v>
      </c>
      <c r="N8" s="38" t="n">
        <f aca="false">IF(L8&gt;0,M8/L8,"")</f>
        <v>0.608695652173913</v>
      </c>
      <c r="O8" s="47" t="n">
        <f aca="false">SUMIFS($E$5:$E$64,$B$5:$B$64,K8)</f>
        <v>60</v>
      </c>
      <c r="P8" s="47" t="n">
        <f aca="false">SUMIFS($F$5:$F$64,$B$5:$B$64,K8)</f>
        <v>15</v>
      </c>
      <c r="Q8" s="38" t="n">
        <f aca="false">IF(O8&gt;0,P8/O8,"")</f>
        <v>0.25</v>
      </c>
      <c r="R8" s="48" t="n">
        <f aca="false">IFERROR(AVERAGEIFS($G$5:$G$64,$B$5:$B$64,K8),"")</f>
        <v>2.1</v>
      </c>
    </row>
    <row r="9" customFormat="false" ht="15" hidden="false" customHeight="false" outlineLevel="0" collapsed="false">
      <c r="A9" s="37" t="s">
        <v>118</v>
      </c>
      <c r="B9" s="46" t="n">
        <v>46235</v>
      </c>
      <c r="C9" s="37" t="n">
        <v>14</v>
      </c>
      <c r="D9" s="37" t="n">
        <v>10</v>
      </c>
      <c r="E9" s="37" t="n">
        <v>41</v>
      </c>
      <c r="F9" s="37" t="n">
        <v>16</v>
      </c>
      <c r="G9" s="39" t="n">
        <v>2.1</v>
      </c>
      <c r="H9" s="38" t="n">
        <f aca="false">IF(N(C9)&gt;0,D9/C9,"")</f>
        <v>0.714285714285714</v>
      </c>
      <c r="I9" s="38" t="n">
        <f aca="false">IF(N(E9)&gt;0,F9/E9,"")</f>
        <v>0.390243902439024</v>
      </c>
      <c r="K9" s="46" t="n">
        <v>46235</v>
      </c>
      <c r="L9" s="47" t="n">
        <f aca="false">SUMIFS($C$5:$C$64,$B$5:$B$64,K9)</f>
        <v>23</v>
      </c>
      <c r="M9" s="47" t="n">
        <f aca="false">SUMIFS($D$5:$D$64,$B$5:$B$64,K9)</f>
        <v>15</v>
      </c>
      <c r="N9" s="38" t="n">
        <f aca="false">IF(L9&gt;0,M9/L9,"")</f>
        <v>0.652173913043478</v>
      </c>
      <c r="O9" s="47" t="n">
        <f aca="false">SUMIFS($E$5:$E$64,$B$5:$B$64,K9)</f>
        <v>65</v>
      </c>
      <c r="P9" s="47" t="n">
        <f aca="false">SUMIFS($F$5:$F$64,$B$5:$B$64,K9)</f>
        <v>21</v>
      </c>
      <c r="Q9" s="38" t="n">
        <f aca="false">IF(O9&gt;0,P9/O9,"")</f>
        <v>0.323076923076923</v>
      </c>
      <c r="R9" s="48" t="n">
        <f aca="false">IFERROR(AVERAGEIFS($G$5:$G$64,$B$5:$B$64,K9),"")</f>
        <v>2.05</v>
      </c>
    </row>
    <row r="10" customFormat="false" ht="15" hidden="false" customHeight="false" outlineLevel="0" collapsed="false">
      <c r="A10" s="37" t="s">
        <v>118</v>
      </c>
      <c r="B10" s="46" t="n">
        <v>46266</v>
      </c>
      <c r="C10" s="37" t="n">
        <v>14</v>
      </c>
      <c r="D10" s="37" t="n">
        <v>11</v>
      </c>
      <c r="E10" s="37" t="n">
        <v>41</v>
      </c>
      <c r="F10" s="37" t="n">
        <v>20</v>
      </c>
      <c r="G10" s="39" t="n">
        <v>2</v>
      </c>
      <c r="H10" s="38" t="n">
        <f aca="false">IF(N(C10)&gt;0,D10/C10,"")</f>
        <v>0.785714285714286</v>
      </c>
      <c r="I10" s="38" t="n">
        <f aca="false">IF(N(E10)&gt;0,F10/E10,"")</f>
        <v>0.487804878048781</v>
      </c>
      <c r="K10" s="46" t="n">
        <v>46266</v>
      </c>
      <c r="L10" s="47" t="n">
        <f aca="false">SUMIFS($C$5:$C$64,$B$5:$B$64,K10)</f>
        <v>23</v>
      </c>
      <c r="M10" s="47" t="n">
        <f aca="false">SUMIFS($D$5:$D$64,$B$5:$B$64,K10)</f>
        <v>16</v>
      </c>
      <c r="N10" s="38" t="n">
        <f aca="false">IF(L10&gt;0,M10/L10,"")</f>
        <v>0.695652173913044</v>
      </c>
      <c r="O10" s="47" t="n">
        <f aca="false">SUMIFS($E$5:$E$64,$B$5:$B$64,K10)</f>
        <v>65</v>
      </c>
      <c r="P10" s="47" t="n">
        <f aca="false">SUMIFS($F$5:$F$64,$B$5:$B$64,K10)</f>
        <v>26</v>
      </c>
      <c r="Q10" s="38" t="n">
        <f aca="false">IF(O10&gt;0,P10/O10,"")</f>
        <v>0.4</v>
      </c>
      <c r="R10" s="48" t="n">
        <f aca="false">IFERROR(AVERAGEIFS($G$5:$G$64,$B$5:$B$64,K10),"")</f>
        <v>1.95</v>
      </c>
    </row>
    <row r="11" customFormat="false" ht="15" hidden="false" customHeight="false" outlineLevel="0" collapsed="false">
      <c r="A11" s="37" t="s">
        <v>125</v>
      </c>
      <c r="B11" s="46" t="n">
        <v>46113</v>
      </c>
      <c r="C11" s="37" t="n">
        <v>9</v>
      </c>
      <c r="D11" s="37" t="n">
        <v>2</v>
      </c>
      <c r="E11" s="37" t="n">
        <v>22</v>
      </c>
      <c r="F11" s="37" t="n">
        <v>0</v>
      </c>
      <c r="G11" s="39" t="n">
        <v>2.1</v>
      </c>
      <c r="H11" s="38" t="n">
        <f aca="false">IF(N(C11)&gt;0,D11/C11,"")</f>
        <v>0.222222222222222</v>
      </c>
      <c r="I11" s="38" t="n">
        <f aca="false">IF(N(E11)&gt;0,F11/E11,"")</f>
        <v>0</v>
      </c>
    </row>
    <row r="12" customFormat="false" ht="15" hidden="false" customHeight="false" outlineLevel="0" collapsed="false">
      <c r="A12" s="37" t="s">
        <v>125</v>
      </c>
      <c r="B12" s="46" t="n">
        <v>46143</v>
      </c>
      <c r="C12" s="37" t="n">
        <v>9</v>
      </c>
      <c r="D12" s="37" t="n">
        <v>3</v>
      </c>
      <c r="E12" s="37" t="n">
        <v>23</v>
      </c>
      <c r="F12" s="37" t="n">
        <v>0</v>
      </c>
      <c r="G12" s="39" t="n">
        <v>2.1</v>
      </c>
      <c r="H12" s="38" t="n">
        <f aca="false">IF(N(C12)&gt;0,D12/C12,"")</f>
        <v>0.333333333333333</v>
      </c>
      <c r="I12" s="38" t="n">
        <f aca="false">IF(N(E12)&gt;0,F12/E12,"")</f>
        <v>0</v>
      </c>
      <c r="K12" s="30" t="s">
        <v>180</v>
      </c>
    </row>
    <row r="13" customFormat="false" ht="15" hidden="false" customHeight="false" outlineLevel="0" collapsed="false">
      <c r="A13" s="37" t="s">
        <v>125</v>
      </c>
      <c r="B13" s="46" t="n">
        <v>46174</v>
      </c>
      <c r="C13" s="37" t="n">
        <v>9</v>
      </c>
      <c r="D13" s="37" t="n">
        <v>4</v>
      </c>
      <c r="E13" s="37" t="n">
        <v>22</v>
      </c>
      <c r="F13" s="37" t="n">
        <v>1</v>
      </c>
      <c r="G13" s="39" t="n">
        <v>2.2</v>
      </c>
      <c r="H13" s="38" t="n">
        <f aca="false">IF(N(C13)&gt;0,D13/C13,"")</f>
        <v>0.444444444444444</v>
      </c>
      <c r="I13" s="38" t="n">
        <f aca="false">IF(N(E13)&gt;0,F13/E13,"")</f>
        <v>0.0454545454545455</v>
      </c>
      <c r="K13" s="30" t="s">
        <v>181</v>
      </c>
    </row>
    <row r="14" customFormat="false" ht="15" hidden="false" customHeight="false" outlineLevel="0" collapsed="false">
      <c r="A14" s="37" t="s">
        <v>125</v>
      </c>
      <c r="B14" s="46" t="n">
        <v>46204</v>
      </c>
      <c r="C14" s="37" t="n">
        <v>9</v>
      </c>
      <c r="D14" s="37" t="n">
        <v>5</v>
      </c>
      <c r="E14" s="37" t="n">
        <v>22</v>
      </c>
      <c r="F14" s="37" t="n">
        <v>3</v>
      </c>
      <c r="G14" s="39" t="n">
        <v>2</v>
      </c>
      <c r="H14" s="38" t="n">
        <f aca="false">IF(N(C14)&gt;0,D14/C14,"")</f>
        <v>0.555555555555556</v>
      </c>
      <c r="I14" s="38" t="n">
        <f aca="false">IF(N(E14)&gt;0,F14/E14,"")</f>
        <v>0.136363636363636</v>
      </c>
    </row>
    <row r="15" customFormat="false" ht="15" hidden="false" customHeight="false" outlineLevel="0" collapsed="false">
      <c r="A15" s="37" t="s">
        <v>125</v>
      </c>
      <c r="B15" s="46" t="n">
        <v>46235</v>
      </c>
      <c r="C15" s="37" t="n">
        <v>9</v>
      </c>
      <c r="D15" s="37" t="n">
        <v>5</v>
      </c>
      <c r="E15" s="37" t="n">
        <v>24</v>
      </c>
      <c r="F15" s="37" t="n">
        <v>5</v>
      </c>
      <c r="G15" s="39" t="n">
        <v>2</v>
      </c>
      <c r="H15" s="38" t="n">
        <f aca="false">IF(N(C15)&gt;0,D15/C15,"")</f>
        <v>0.555555555555556</v>
      </c>
      <c r="I15" s="38" t="n">
        <f aca="false">IF(N(E15)&gt;0,F15/E15,"")</f>
        <v>0.208333333333333</v>
      </c>
    </row>
    <row r="16" customFormat="false" ht="15" hidden="false" customHeight="false" outlineLevel="0" collapsed="false">
      <c r="A16" s="37" t="s">
        <v>125</v>
      </c>
      <c r="B16" s="46" t="n">
        <v>46266</v>
      </c>
      <c r="C16" s="37" t="n">
        <v>9</v>
      </c>
      <c r="D16" s="37" t="n">
        <v>5</v>
      </c>
      <c r="E16" s="37" t="n">
        <v>24</v>
      </c>
      <c r="F16" s="37" t="n">
        <v>6</v>
      </c>
      <c r="G16" s="39" t="n">
        <v>1.9</v>
      </c>
      <c r="H16" s="38" t="n">
        <f aca="false">IF(N(C16)&gt;0,D16/C16,"")</f>
        <v>0.555555555555556</v>
      </c>
      <c r="I16" s="38" t="n">
        <f aca="false">IF(N(E16)&gt;0,F16/E16,"")</f>
        <v>0.25</v>
      </c>
    </row>
    <row r="17" customFormat="false" ht="15" hidden="false" customHeight="false" outlineLevel="0" collapsed="false">
      <c r="A17" s="37"/>
      <c r="B17" s="46"/>
      <c r="C17" s="37"/>
      <c r="D17" s="37"/>
      <c r="E17" s="37"/>
      <c r="F17" s="37"/>
      <c r="G17" s="39"/>
      <c r="H17" s="38" t="str">
        <f aca="false">IF(N(C17)&gt;0,D17/C17,"")</f>
        <v/>
      </c>
      <c r="I17" s="38" t="str">
        <f aca="false">IF(N(E17)&gt;0,F17/E17,"")</f>
        <v/>
      </c>
    </row>
    <row r="18" customFormat="false" ht="15" hidden="false" customHeight="false" outlineLevel="0" collapsed="false">
      <c r="A18" s="37"/>
      <c r="B18" s="46"/>
      <c r="C18" s="37"/>
      <c r="D18" s="37"/>
      <c r="E18" s="37"/>
      <c r="F18" s="37"/>
      <c r="G18" s="39"/>
      <c r="H18" s="38" t="str">
        <f aca="false">IF(N(C18)&gt;0,D18/C18,"")</f>
        <v/>
      </c>
      <c r="I18" s="38" t="str">
        <f aca="false">IF(N(E18)&gt;0,F18/E18,"")</f>
        <v/>
      </c>
    </row>
    <row r="19" customFormat="false" ht="15" hidden="false" customHeight="false" outlineLevel="0" collapsed="false">
      <c r="A19" s="37"/>
      <c r="B19" s="46"/>
      <c r="C19" s="37"/>
      <c r="D19" s="37"/>
      <c r="E19" s="37"/>
      <c r="F19" s="37"/>
      <c r="G19" s="39"/>
      <c r="H19" s="38" t="str">
        <f aca="false">IF(N(C19)&gt;0,D19/C19,"")</f>
        <v/>
      </c>
      <c r="I19" s="38" t="str">
        <f aca="false">IF(N(E19)&gt;0,F19/E19,"")</f>
        <v/>
      </c>
    </row>
    <row r="20" customFormat="false" ht="15" hidden="false" customHeight="false" outlineLevel="0" collapsed="false">
      <c r="A20" s="37"/>
      <c r="B20" s="46"/>
      <c r="C20" s="37"/>
      <c r="D20" s="37"/>
      <c r="E20" s="37"/>
      <c r="F20" s="37"/>
      <c r="G20" s="39"/>
      <c r="H20" s="38" t="str">
        <f aca="false">IF(N(C20)&gt;0,D20/C20,"")</f>
        <v/>
      </c>
      <c r="I20" s="38" t="str">
        <f aca="false">IF(N(E20)&gt;0,F20/E20,"")</f>
        <v/>
      </c>
    </row>
    <row r="21" customFormat="false" ht="15" hidden="false" customHeight="false" outlineLevel="0" collapsed="false">
      <c r="A21" s="37"/>
      <c r="B21" s="46"/>
      <c r="C21" s="37"/>
      <c r="D21" s="37"/>
      <c r="E21" s="37"/>
      <c r="F21" s="37"/>
      <c r="G21" s="39"/>
      <c r="H21" s="38" t="str">
        <f aca="false">IF(N(C21)&gt;0,D21/C21,"")</f>
        <v/>
      </c>
      <c r="I21" s="38" t="str">
        <f aca="false">IF(N(E21)&gt;0,F21/E21,"")</f>
        <v/>
      </c>
    </row>
    <row r="22" customFormat="false" ht="15" hidden="false" customHeight="false" outlineLevel="0" collapsed="false">
      <c r="A22" s="37"/>
      <c r="B22" s="46"/>
      <c r="C22" s="37"/>
      <c r="D22" s="37"/>
      <c r="E22" s="37"/>
      <c r="F22" s="37"/>
      <c r="G22" s="39"/>
      <c r="H22" s="38" t="str">
        <f aca="false">IF(N(C22)&gt;0,D22/C22,"")</f>
        <v/>
      </c>
      <c r="I22" s="38" t="str">
        <f aca="false">IF(N(E22)&gt;0,F22/E22,"")</f>
        <v/>
      </c>
    </row>
    <row r="23" customFormat="false" ht="15" hidden="false" customHeight="false" outlineLevel="0" collapsed="false">
      <c r="A23" s="37"/>
      <c r="B23" s="46"/>
      <c r="C23" s="37"/>
      <c r="D23" s="37"/>
      <c r="E23" s="37"/>
      <c r="F23" s="37"/>
      <c r="G23" s="39"/>
      <c r="H23" s="38" t="str">
        <f aca="false">IF(N(C23)&gt;0,D23/C23,"")</f>
        <v/>
      </c>
      <c r="I23" s="38" t="str">
        <f aca="false">IF(N(E23)&gt;0,F23/E23,"")</f>
        <v/>
      </c>
    </row>
    <row r="24" customFormat="false" ht="15" hidden="false" customHeight="false" outlineLevel="0" collapsed="false">
      <c r="A24" s="37"/>
      <c r="B24" s="46"/>
      <c r="C24" s="37"/>
      <c r="D24" s="37"/>
      <c r="E24" s="37"/>
      <c r="F24" s="37"/>
      <c r="G24" s="39"/>
      <c r="H24" s="38" t="str">
        <f aca="false">IF(N(C24)&gt;0,D24/C24,"")</f>
        <v/>
      </c>
      <c r="I24" s="38" t="str">
        <f aca="false">IF(N(E24)&gt;0,F24/E24,"")</f>
        <v/>
      </c>
    </row>
    <row r="25" customFormat="false" ht="15" hidden="false" customHeight="false" outlineLevel="0" collapsed="false">
      <c r="A25" s="37"/>
      <c r="B25" s="46"/>
      <c r="C25" s="37"/>
      <c r="D25" s="37"/>
      <c r="E25" s="37"/>
      <c r="F25" s="37"/>
      <c r="G25" s="39"/>
      <c r="H25" s="38" t="str">
        <f aca="false">IF(N(C25)&gt;0,D25/C25,"")</f>
        <v/>
      </c>
      <c r="I25" s="38" t="str">
        <f aca="false">IF(N(E25)&gt;0,F25/E25,"")</f>
        <v/>
      </c>
    </row>
    <row r="26" customFormat="false" ht="15" hidden="false" customHeight="false" outlineLevel="0" collapsed="false">
      <c r="A26" s="37"/>
      <c r="B26" s="46"/>
      <c r="C26" s="37"/>
      <c r="D26" s="37"/>
      <c r="E26" s="37"/>
      <c r="F26" s="37"/>
      <c r="G26" s="39"/>
      <c r="H26" s="38" t="str">
        <f aca="false">IF(N(C26)&gt;0,D26/C26,"")</f>
        <v/>
      </c>
      <c r="I26" s="38" t="str">
        <f aca="false">IF(N(E26)&gt;0,F26/E26,"")</f>
        <v/>
      </c>
    </row>
    <row r="27" customFormat="false" ht="15" hidden="false" customHeight="false" outlineLevel="0" collapsed="false">
      <c r="A27" s="37"/>
      <c r="B27" s="46"/>
      <c r="C27" s="37"/>
      <c r="D27" s="37"/>
      <c r="E27" s="37"/>
      <c r="F27" s="37"/>
      <c r="G27" s="39"/>
      <c r="H27" s="38" t="str">
        <f aca="false">IF(N(C27)&gt;0,D27/C27,"")</f>
        <v/>
      </c>
      <c r="I27" s="38" t="str">
        <f aca="false">IF(N(E27)&gt;0,F27/E27,"")</f>
        <v/>
      </c>
    </row>
    <row r="28" customFormat="false" ht="15" hidden="false" customHeight="false" outlineLevel="0" collapsed="false">
      <c r="A28" s="37"/>
      <c r="B28" s="46"/>
      <c r="C28" s="37"/>
      <c r="D28" s="37"/>
      <c r="E28" s="37"/>
      <c r="F28" s="37"/>
      <c r="G28" s="39"/>
      <c r="H28" s="38" t="str">
        <f aca="false">IF(N(C28)&gt;0,D28/C28,"")</f>
        <v/>
      </c>
      <c r="I28" s="38" t="str">
        <f aca="false">IF(N(E28)&gt;0,F28/E28,"")</f>
        <v/>
      </c>
    </row>
    <row r="29" customFormat="false" ht="15" hidden="false" customHeight="false" outlineLevel="0" collapsed="false">
      <c r="A29" s="37"/>
      <c r="B29" s="46"/>
      <c r="C29" s="37"/>
      <c r="D29" s="37"/>
      <c r="E29" s="37"/>
      <c r="F29" s="37"/>
      <c r="G29" s="39"/>
      <c r="H29" s="38" t="str">
        <f aca="false">IF(N(C29)&gt;0,D29/C29,"")</f>
        <v/>
      </c>
      <c r="I29" s="38" t="str">
        <f aca="false">IF(N(E29)&gt;0,F29/E29,"")</f>
        <v/>
      </c>
    </row>
    <row r="30" customFormat="false" ht="15" hidden="false" customHeight="false" outlineLevel="0" collapsed="false">
      <c r="A30" s="37"/>
      <c r="B30" s="46"/>
      <c r="C30" s="37"/>
      <c r="D30" s="37"/>
      <c r="E30" s="37"/>
      <c r="F30" s="37"/>
      <c r="G30" s="39"/>
      <c r="H30" s="38" t="str">
        <f aca="false">IF(N(C30)&gt;0,D30/C30,"")</f>
        <v/>
      </c>
      <c r="I30" s="38" t="str">
        <f aca="false">IF(N(E30)&gt;0,F30/E30,"")</f>
        <v/>
      </c>
    </row>
    <row r="31" customFormat="false" ht="15" hidden="false" customHeight="false" outlineLevel="0" collapsed="false">
      <c r="A31" s="37"/>
      <c r="B31" s="46"/>
      <c r="C31" s="37"/>
      <c r="D31" s="37"/>
      <c r="E31" s="37"/>
      <c r="F31" s="37"/>
      <c r="G31" s="39"/>
      <c r="H31" s="38" t="str">
        <f aca="false">IF(N(C31)&gt;0,D31/C31,"")</f>
        <v/>
      </c>
      <c r="I31" s="38" t="str">
        <f aca="false">IF(N(E31)&gt;0,F31/E31,"")</f>
        <v/>
      </c>
    </row>
    <row r="32" customFormat="false" ht="15" hidden="false" customHeight="false" outlineLevel="0" collapsed="false">
      <c r="A32" s="37"/>
      <c r="B32" s="46"/>
      <c r="C32" s="37"/>
      <c r="D32" s="37"/>
      <c r="E32" s="37"/>
      <c r="F32" s="37"/>
      <c r="G32" s="39"/>
      <c r="H32" s="38" t="str">
        <f aca="false">IF(N(C32)&gt;0,D32/C32,"")</f>
        <v/>
      </c>
      <c r="I32" s="38" t="str">
        <f aca="false">IF(N(E32)&gt;0,F32/E32,"")</f>
        <v/>
      </c>
    </row>
    <row r="33" customFormat="false" ht="15" hidden="false" customHeight="false" outlineLevel="0" collapsed="false">
      <c r="A33" s="37"/>
      <c r="B33" s="46"/>
      <c r="C33" s="37"/>
      <c r="D33" s="37"/>
      <c r="E33" s="37"/>
      <c r="F33" s="37"/>
      <c r="G33" s="39"/>
      <c r="H33" s="38" t="str">
        <f aca="false">IF(N(C33)&gt;0,D33/C33,"")</f>
        <v/>
      </c>
      <c r="I33" s="38" t="str">
        <f aca="false">IF(N(E33)&gt;0,F33/E33,"")</f>
        <v/>
      </c>
    </row>
    <row r="34" customFormat="false" ht="15" hidden="false" customHeight="false" outlineLevel="0" collapsed="false">
      <c r="A34" s="37"/>
      <c r="B34" s="46"/>
      <c r="C34" s="37"/>
      <c r="D34" s="37"/>
      <c r="E34" s="37"/>
      <c r="F34" s="37"/>
      <c r="G34" s="39"/>
      <c r="H34" s="38" t="str">
        <f aca="false">IF(N(C34)&gt;0,D34/C34,"")</f>
        <v/>
      </c>
      <c r="I34" s="38" t="str">
        <f aca="false">IF(N(E34)&gt;0,F34/E34,"")</f>
        <v/>
      </c>
    </row>
    <row r="35" customFormat="false" ht="15" hidden="false" customHeight="false" outlineLevel="0" collapsed="false">
      <c r="A35" s="37"/>
      <c r="B35" s="46"/>
      <c r="C35" s="37"/>
      <c r="D35" s="37"/>
      <c r="E35" s="37"/>
      <c r="F35" s="37"/>
      <c r="G35" s="39"/>
      <c r="H35" s="38" t="str">
        <f aca="false">IF(N(C35)&gt;0,D35/C35,"")</f>
        <v/>
      </c>
      <c r="I35" s="38" t="str">
        <f aca="false">IF(N(E35)&gt;0,F35/E35,"")</f>
        <v/>
      </c>
    </row>
    <row r="36" customFormat="false" ht="15" hidden="false" customHeight="false" outlineLevel="0" collapsed="false">
      <c r="A36" s="37"/>
      <c r="B36" s="46"/>
      <c r="C36" s="37"/>
      <c r="D36" s="37"/>
      <c r="E36" s="37"/>
      <c r="F36" s="37"/>
      <c r="G36" s="39"/>
      <c r="H36" s="38" t="str">
        <f aca="false">IF(N(C36)&gt;0,D36/C36,"")</f>
        <v/>
      </c>
      <c r="I36" s="38" t="str">
        <f aca="false">IF(N(E36)&gt;0,F36/E36,"")</f>
        <v/>
      </c>
    </row>
    <row r="37" customFormat="false" ht="15" hidden="false" customHeight="false" outlineLevel="0" collapsed="false">
      <c r="A37" s="37"/>
      <c r="B37" s="46"/>
      <c r="C37" s="37"/>
      <c r="D37" s="37"/>
      <c r="E37" s="37"/>
      <c r="F37" s="37"/>
      <c r="G37" s="39"/>
      <c r="H37" s="38" t="str">
        <f aca="false">IF(N(C37)&gt;0,D37/C37,"")</f>
        <v/>
      </c>
      <c r="I37" s="38" t="str">
        <f aca="false">IF(N(E37)&gt;0,F37/E37,"")</f>
        <v/>
      </c>
    </row>
    <row r="38" customFormat="false" ht="15" hidden="false" customHeight="false" outlineLevel="0" collapsed="false">
      <c r="A38" s="37"/>
      <c r="B38" s="46"/>
      <c r="C38" s="37"/>
      <c r="D38" s="37"/>
      <c r="E38" s="37"/>
      <c r="F38" s="37"/>
      <c r="G38" s="39"/>
      <c r="H38" s="38" t="str">
        <f aca="false">IF(N(C38)&gt;0,D38/C38,"")</f>
        <v/>
      </c>
      <c r="I38" s="38" t="str">
        <f aca="false">IF(N(E38)&gt;0,F38/E38,"")</f>
        <v/>
      </c>
    </row>
    <row r="39" customFormat="false" ht="15" hidden="false" customHeight="false" outlineLevel="0" collapsed="false">
      <c r="A39" s="37"/>
      <c r="B39" s="46"/>
      <c r="C39" s="37"/>
      <c r="D39" s="37"/>
      <c r="E39" s="37"/>
      <c r="F39" s="37"/>
      <c r="G39" s="39"/>
      <c r="H39" s="38" t="str">
        <f aca="false">IF(N(C39)&gt;0,D39/C39,"")</f>
        <v/>
      </c>
      <c r="I39" s="38" t="str">
        <f aca="false">IF(N(E39)&gt;0,F39/E39,"")</f>
        <v/>
      </c>
    </row>
    <row r="40" customFormat="false" ht="15" hidden="false" customHeight="false" outlineLevel="0" collapsed="false">
      <c r="A40" s="37"/>
      <c r="B40" s="46"/>
      <c r="C40" s="37"/>
      <c r="D40" s="37"/>
      <c r="E40" s="37"/>
      <c r="F40" s="37"/>
      <c r="G40" s="39"/>
      <c r="H40" s="38" t="str">
        <f aca="false">IF(N(C40)&gt;0,D40/C40,"")</f>
        <v/>
      </c>
      <c r="I40" s="38" t="str">
        <f aca="false">IF(N(E40)&gt;0,F40/E40,"")</f>
        <v/>
      </c>
    </row>
    <row r="41" customFormat="false" ht="15" hidden="false" customHeight="false" outlineLevel="0" collapsed="false">
      <c r="A41" s="37"/>
      <c r="B41" s="46"/>
      <c r="C41" s="37"/>
      <c r="D41" s="37"/>
      <c r="E41" s="37"/>
      <c r="F41" s="37"/>
      <c r="G41" s="39"/>
      <c r="H41" s="38" t="str">
        <f aca="false">IF(N(C41)&gt;0,D41/C41,"")</f>
        <v/>
      </c>
      <c r="I41" s="38" t="str">
        <f aca="false">IF(N(E41)&gt;0,F41/E41,"")</f>
        <v/>
      </c>
    </row>
    <row r="42" customFormat="false" ht="15" hidden="false" customHeight="false" outlineLevel="0" collapsed="false">
      <c r="A42" s="37"/>
      <c r="B42" s="46"/>
      <c r="C42" s="37"/>
      <c r="D42" s="37"/>
      <c r="E42" s="37"/>
      <c r="F42" s="37"/>
      <c r="G42" s="39"/>
      <c r="H42" s="38" t="str">
        <f aca="false">IF(N(C42)&gt;0,D42/C42,"")</f>
        <v/>
      </c>
      <c r="I42" s="38" t="str">
        <f aca="false">IF(N(E42)&gt;0,F42/E42,"")</f>
        <v/>
      </c>
    </row>
    <row r="43" customFormat="false" ht="15" hidden="false" customHeight="false" outlineLevel="0" collapsed="false">
      <c r="A43" s="37"/>
      <c r="B43" s="46"/>
      <c r="C43" s="37"/>
      <c r="D43" s="37"/>
      <c r="E43" s="37"/>
      <c r="F43" s="37"/>
      <c r="G43" s="39"/>
      <c r="H43" s="38" t="str">
        <f aca="false">IF(N(C43)&gt;0,D43/C43,"")</f>
        <v/>
      </c>
      <c r="I43" s="38" t="str">
        <f aca="false">IF(N(E43)&gt;0,F43/E43,"")</f>
        <v/>
      </c>
    </row>
    <row r="44" customFormat="false" ht="15" hidden="false" customHeight="false" outlineLevel="0" collapsed="false">
      <c r="A44" s="37"/>
      <c r="B44" s="46"/>
      <c r="C44" s="37"/>
      <c r="D44" s="37"/>
      <c r="E44" s="37"/>
      <c r="F44" s="37"/>
      <c r="G44" s="39"/>
      <c r="H44" s="38" t="str">
        <f aca="false">IF(N(C44)&gt;0,D44/C44,"")</f>
        <v/>
      </c>
      <c r="I44" s="38" t="str">
        <f aca="false">IF(N(E44)&gt;0,F44/E44,"")</f>
        <v/>
      </c>
    </row>
    <row r="45" customFormat="false" ht="15" hidden="false" customHeight="false" outlineLevel="0" collapsed="false">
      <c r="A45" s="37"/>
      <c r="B45" s="46"/>
      <c r="C45" s="37"/>
      <c r="D45" s="37"/>
      <c r="E45" s="37"/>
      <c r="F45" s="37"/>
      <c r="G45" s="39"/>
      <c r="H45" s="38" t="str">
        <f aca="false">IF(N(C45)&gt;0,D45/C45,"")</f>
        <v/>
      </c>
      <c r="I45" s="38" t="str">
        <f aca="false">IF(N(E45)&gt;0,F45/E45,"")</f>
        <v/>
      </c>
    </row>
    <row r="46" customFormat="false" ht="15" hidden="false" customHeight="false" outlineLevel="0" collapsed="false">
      <c r="A46" s="37"/>
      <c r="B46" s="46"/>
      <c r="C46" s="37"/>
      <c r="D46" s="37"/>
      <c r="E46" s="37"/>
      <c r="F46" s="37"/>
      <c r="G46" s="39"/>
      <c r="H46" s="38" t="str">
        <f aca="false">IF(N(C46)&gt;0,D46/C46,"")</f>
        <v/>
      </c>
      <c r="I46" s="38" t="str">
        <f aca="false">IF(N(E46)&gt;0,F46/E46,"")</f>
        <v/>
      </c>
    </row>
    <row r="47" customFormat="false" ht="15" hidden="false" customHeight="false" outlineLevel="0" collapsed="false">
      <c r="A47" s="37"/>
      <c r="B47" s="46"/>
      <c r="C47" s="37"/>
      <c r="D47" s="37"/>
      <c r="E47" s="37"/>
      <c r="F47" s="37"/>
      <c r="G47" s="39"/>
      <c r="H47" s="38" t="str">
        <f aca="false">IF(N(C47)&gt;0,D47/C47,"")</f>
        <v/>
      </c>
      <c r="I47" s="38" t="str">
        <f aca="false">IF(N(E47)&gt;0,F47/E47,"")</f>
        <v/>
      </c>
    </row>
    <row r="48" customFormat="false" ht="15" hidden="false" customHeight="false" outlineLevel="0" collapsed="false">
      <c r="A48" s="37"/>
      <c r="B48" s="46"/>
      <c r="C48" s="37"/>
      <c r="D48" s="37"/>
      <c r="E48" s="37"/>
      <c r="F48" s="37"/>
      <c r="G48" s="39"/>
      <c r="H48" s="38" t="str">
        <f aca="false">IF(N(C48)&gt;0,D48/C48,"")</f>
        <v/>
      </c>
      <c r="I48" s="38" t="str">
        <f aca="false">IF(N(E48)&gt;0,F48/E48,"")</f>
        <v/>
      </c>
    </row>
    <row r="49" customFormat="false" ht="15" hidden="false" customHeight="false" outlineLevel="0" collapsed="false">
      <c r="A49" s="37"/>
      <c r="B49" s="46"/>
      <c r="C49" s="37"/>
      <c r="D49" s="37"/>
      <c r="E49" s="37"/>
      <c r="F49" s="37"/>
      <c r="G49" s="39"/>
      <c r="H49" s="38" t="str">
        <f aca="false">IF(N(C49)&gt;0,D49/C49,"")</f>
        <v/>
      </c>
      <c r="I49" s="38" t="str">
        <f aca="false">IF(N(E49)&gt;0,F49/E49,"")</f>
        <v/>
      </c>
    </row>
    <row r="50" customFormat="false" ht="15" hidden="false" customHeight="false" outlineLevel="0" collapsed="false">
      <c r="A50" s="37"/>
      <c r="B50" s="46"/>
      <c r="C50" s="37"/>
      <c r="D50" s="37"/>
      <c r="E50" s="37"/>
      <c r="F50" s="37"/>
      <c r="G50" s="39"/>
      <c r="H50" s="38" t="str">
        <f aca="false">IF(N(C50)&gt;0,D50/C50,"")</f>
        <v/>
      </c>
      <c r="I50" s="38" t="str">
        <f aca="false">IF(N(E50)&gt;0,F50/E50,"")</f>
        <v/>
      </c>
    </row>
    <row r="51" customFormat="false" ht="15" hidden="false" customHeight="false" outlineLevel="0" collapsed="false">
      <c r="A51" s="37"/>
      <c r="B51" s="46"/>
      <c r="C51" s="37"/>
      <c r="D51" s="37"/>
      <c r="E51" s="37"/>
      <c r="F51" s="37"/>
      <c r="G51" s="39"/>
      <c r="H51" s="38" t="str">
        <f aca="false">IF(N(C51)&gt;0,D51/C51,"")</f>
        <v/>
      </c>
      <c r="I51" s="38" t="str">
        <f aca="false">IF(N(E51)&gt;0,F51/E51,"")</f>
        <v/>
      </c>
    </row>
    <row r="52" customFormat="false" ht="15" hidden="false" customHeight="false" outlineLevel="0" collapsed="false">
      <c r="A52" s="37"/>
      <c r="B52" s="46"/>
      <c r="C52" s="37"/>
      <c r="D52" s="37"/>
      <c r="E52" s="37"/>
      <c r="F52" s="37"/>
      <c r="G52" s="39"/>
      <c r="H52" s="38" t="str">
        <f aca="false">IF(N(C52)&gt;0,D52/C52,"")</f>
        <v/>
      </c>
      <c r="I52" s="38" t="str">
        <f aca="false">IF(N(E52)&gt;0,F52/E52,"")</f>
        <v/>
      </c>
    </row>
    <row r="53" customFormat="false" ht="15" hidden="false" customHeight="false" outlineLevel="0" collapsed="false">
      <c r="A53" s="37"/>
      <c r="B53" s="46"/>
      <c r="C53" s="37"/>
      <c r="D53" s="37"/>
      <c r="E53" s="37"/>
      <c r="F53" s="37"/>
      <c r="G53" s="39"/>
      <c r="H53" s="38" t="str">
        <f aca="false">IF(N(C53)&gt;0,D53/C53,"")</f>
        <v/>
      </c>
      <c r="I53" s="38" t="str">
        <f aca="false">IF(N(E53)&gt;0,F53/E53,"")</f>
        <v/>
      </c>
    </row>
    <row r="54" customFormat="false" ht="15" hidden="false" customHeight="false" outlineLevel="0" collapsed="false">
      <c r="A54" s="37"/>
      <c r="B54" s="46"/>
      <c r="C54" s="37"/>
      <c r="D54" s="37"/>
      <c r="E54" s="37"/>
      <c r="F54" s="37"/>
      <c r="G54" s="39"/>
      <c r="H54" s="38" t="str">
        <f aca="false">IF(N(C54)&gt;0,D54/C54,"")</f>
        <v/>
      </c>
      <c r="I54" s="38" t="str">
        <f aca="false">IF(N(E54)&gt;0,F54/E54,"")</f>
        <v/>
      </c>
    </row>
    <row r="55" customFormat="false" ht="15" hidden="false" customHeight="false" outlineLevel="0" collapsed="false">
      <c r="A55" s="37"/>
      <c r="B55" s="46"/>
      <c r="C55" s="37"/>
      <c r="D55" s="37"/>
      <c r="E55" s="37"/>
      <c r="F55" s="37"/>
      <c r="G55" s="39"/>
      <c r="H55" s="38" t="str">
        <f aca="false">IF(N(C55)&gt;0,D55/C55,"")</f>
        <v/>
      </c>
      <c r="I55" s="38" t="str">
        <f aca="false">IF(N(E55)&gt;0,F55/E55,"")</f>
        <v/>
      </c>
    </row>
    <row r="56" customFormat="false" ht="15" hidden="false" customHeight="false" outlineLevel="0" collapsed="false">
      <c r="A56" s="37"/>
      <c r="B56" s="46"/>
      <c r="C56" s="37"/>
      <c r="D56" s="37"/>
      <c r="E56" s="37"/>
      <c r="F56" s="37"/>
      <c r="G56" s="39"/>
      <c r="H56" s="38" t="str">
        <f aca="false">IF(N(C56)&gt;0,D56/C56,"")</f>
        <v/>
      </c>
      <c r="I56" s="38" t="str">
        <f aca="false">IF(N(E56)&gt;0,F56/E56,"")</f>
        <v/>
      </c>
    </row>
    <row r="57" customFormat="false" ht="15" hidden="false" customHeight="false" outlineLevel="0" collapsed="false">
      <c r="A57" s="37"/>
      <c r="B57" s="46"/>
      <c r="C57" s="37"/>
      <c r="D57" s="37"/>
      <c r="E57" s="37"/>
      <c r="F57" s="37"/>
      <c r="G57" s="39"/>
      <c r="H57" s="38" t="str">
        <f aca="false">IF(N(C57)&gt;0,D57/C57,"")</f>
        <v/>
      </c>
      <c r="I57" s="38" t="str">
        <f aca="false">IF(N(E57)&gt;0,F57/E57,"")</f>
        <v/>
      </c>
    </row>
    <row r="58" customFormat="false" ht="15" hidden="false" customHeight="false" outlineLevel="0" collapsed="false">
      <c r="A58" s="37"/>
      <c r="B58" s="46"/>
      <c r="C58" s="37"/>
      <c r="D58" s="37"/>
      <c r="E58" s="37"/>
      <c r="F58" s="37"/>
      <c r="G58" s="39"/>
      <c r="H58" s="38" t="str">
        <f aca="false">IF(N(C58)&gt;0,D58/C58,"")</f>
        <v/>
      </c>
      <c r="I58" s="38" t="str">
        <f aca="false">IF(N(E58)&gt;0,F58/E58,"")</f>
        <v/>
      </c>
    </row>
    <row r="59" customFormat="false" ht="15" hidden="false" customHeight="false" outlineLevel="0" collapsed="false">
      <c r="A59" s="37"/>
      <c r="B59" s="46"/>
      <c r="C59" s="37"/>
      <c r="D59" s="37"/>
      <c r="E59" s="37"/>
      <c r="F59" s="37"/>
      <c r="G59" s="39"/>
      <c r="H59" s="38" t="str">
        <f aca="false">IF(N(C59)&gt;0,D59/C59,"")</f>
        <v/>
      </c>
      <c r="I59" s="38" t="str">
        <f aca="false">IF(N(E59)&gt;0,F59/E59,"")</f>
        <v/>
      </c>
    </row>
    <row r="60" customFormat="false" ht="15" hidden="false" customHeight="false" outlineLevel="0" collapsed="false">
      <c r="A60" s="37"/>
      <c r="B60" s="46"/>
      <c r="C60" s="37"/>
      <c r="D60" s="37"/>
      <c r="E60" s="37"/>
      <c r="F60" s="37"/>
      <c r="G60" s="39"/>
      <c r="H60" s="38" t="str">
        <f aca="false">IF(N(C60)&gt;0,D60/C60,"")</f>
        <v/>
      </c>
      <c r="I60" s="38" t="str">
        <f aca="false">IF(N(E60)&gt;0,F60/E60,"")</f>
        <v/>
      </c>
    </row>
    <row r="61" customFormat="false" ht="15" hidden="false" customHeight="false" outlineLevel="0" collapsed="false">
      <c r="A61" s="37"/>
      <c r="B61" s="46"/>
      <c r="C61" s="37"/>
      <c r="D61" s="37"/>
      <c r="E61" s="37"/>
      <c r="F61" s="37"/>
      <c r="G61" s="39"/>
      <c r="H61" s="38" t="str">
        <f aca="false">IF(N(C61)&gt;0,D61/C61,"")</f>
        <v/>
      </c>
      <c r="I61" s="38" t="str">
        <f aca="false">IF(N(E61)&gt;0,F61/E61,"")</f>
        <v/>
      </c>
    </row>
    <row r="62" customFormat="false" ht="15" hidden="false" customHeight="false" outlineLevel="0" collapsed="false">
      <c r="A62" s="37"/>
      <c r="B62" s="46"/>
      <c r="C62" s="37"/>
      <c r="D62" s="37"/>
      <c r="E62" s="37"/>
      <c r="F62" s="37"/>
      <c r="G62" s="39"/>
      <c r="H62" s="38" t="str">
        <f aca="false">IF(N(C62)&gt;0,D62/C62,"")</f>
        <v/>
      </c>
      <c r="I62" s="38" t="str">
        <f aca="false">IF(N(E62)&gt;0,F62/E62,"")</f>
        <v/>
      </c>
    </row>
    <row r="63" customFormat="false" ht="15" hidden="false" customHeight="false" outlineLevel="0" collapsed="false">
      <c r="A63" s="37"/>
      <c r="B63" s="46"/>
      <c r="C63" s="37"/>
      <c r="D63" s="37"/>
      <c r="E63" s="37"/>
      <c r="F63" s="37"/>
      <c r="G63" s="39"/>
      <c r="H63" s="38" t="str">
        <f aca="false">IF(N(C63)&gt;0,D63/C63,"")</f>
        <v/>
      </c>
      <c r="I63" s="38" t="str">
        <f aca="false">IF(N(E63)&gt;0,F63/E63,"")</f>
        <v/>
      </c>
    </row>
    <row r="64" customFormat="false" ht="15" hidden="false" customHeight="false" outlineLevel="0" collapsed="false">
      <c r="A64" s="37"/>
      <c r="B64" s="46"/>
      <c r="C64" s="37"/>
      <c r="D64" s="37"/>
      <c r="E64" s="37"/>
      <c r="F64" s="37"/>
      <c r="G64" s="39"/>
      <c r="H64" s="38" t="str">
        <f aca="false">IF(N(C64)&gt;0,D64/C64,"")</f>
        <v/>
      </c>
      <c r="I64" s="38" t="str">
        <f aca="false">IF(N(E64)&gt;0,F64/E64,"")</f>
        <v/>
      </c>
    </row>
  </sheetData>
  <mergeCells count="3">
    <mergeCell ref="A1:R2"/>
    <mergeCell ref="A3:I3"/>
    <mergeCell ref="K3:R3"/>
  </mergeCells>
  <dataValidations count="1">
    <dataValidation allowBlank="true" errorStyle="stop" operator="between" showDropDown="false" showErrorMessage="false" showInputMessage="false" sqref="A5:A64" type="list">
      <formula1>"P01,P02,P03,P04,P05,P06,P07,P08,P09,P10"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true"/>
  </sheetPr>
  <dimension ref="A1:P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8" min="6" style="0" width="13"/>
    <col collapsed="false" customWidth="true" hidden="false" outlineLevel="0" max="10" min="9" style="0" width="12"/>
    <col collapsed="false" customWidth="true" hidden="false" outlineLevel="0" max="12" min="11" style="0" width="10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36"/>
  </cols>
  <sheetData>
    <row r="1" customFormat="false" ht="21.75" hidden="false" customHeight="true" outlineLevel="0" collapsed="false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C3" s="36" t="s">
        <v>183</v>
      </c>
      <c r="D3" s="36"/>
      <c r="E3" s="36"/>
      <c r="F3" s="36"/>
      <c r="G3" s="36"/>
      <c r="H3" s="36"/>
      <c r="I3" s="36"/>
      <c r="J3" s="36"/>
      <c r="K3" s="36" t="s">
        <v>184</v>
      </c>
      <c r="L3" s="36"/>
      <c r="M3" s="36"/>
      <c r="N3" s="36"/>
      <c r="O3" s="49" t="s">
        <v>185</v>
      </c>
    </row>
    <row r="4" customFormat="false" ht="39.75" hidden="false" customHeight="true" outlineLevel="0" collapsed="false">
      <c r="A4" s="12" t="s">
        <v>107</v>
      </c>
      <c r="B4" s="12" t="s">
        <v>93</v>
      </c>
      <c r="C4" s="12" t="s">
        <v>186</v>
      </c>
      <c r="D4" s="12" t="s">
        <v>187</v>
      </c>
      <c r="E4" s="12" t="s">
        <v>188</v>
      </c>
      <c r="F4" s="12" t="s">
        <v>189</v>
      </c>
      <c r="G4" s="12" t="s">
        <v>190</v>
      </c>
      <c r="H4" s="12" t="s">
        <v>191</v>
      </c>
      <c r="I4" s="12" t="s">
        <v>192</v>
      </c>
      <c r="J4" s="12" t="s">
        <v>193</v>
      </c>
      <c r="K4" s="12" t="s">
        <v>194</v>
      </c>
      <c r="L4" s="12" t="s">
        <v>195</v>
      </c>
      <c r="M4" s="12" t="s">
        <v>196</v>
      </c>
      <c r="N4" s="12" t="s">
        <v>197</v>
      </c>
      <c r="O4" s="12" t="s">
        <v>198</v>
      </c>
      <c r="P4" s="12" t="s">
        <v>199</v>
      </c>
    </row>
    <row r="5" customFormat="false" ht="15" hidden="false" customHeight="false" outlineLevel="0" collapsed="false">
      <c r="A5" s="23" t="str">
        <f aca="false">Projects!A5</f>
        <v>P01</v>
      </c>
      <c r="B5" s="9" t="str">
        <f aca="false">IF(Projects!B5="","",Projects!B5)</f>
        <v>Project A - Viewer platform (SAMPLE)</v>
      </c>
      <c r="C5" s="37" t="s">
        <v>200</v>
      </c>
      <c r="D5" s="37" t="n">
        <v>12</v>
      </c>
      <c r="E5" s="37" t="n">
        <v>23</v>
      </c>
      <c r="F5" s="37" t="n">
        <v>4</v>
      </c>
      <c r="G5" s="50" t="n">
        <v>46266</v>
      </c>
      <c r="H5" s="37" t="s">
        <v>200</v>
      </c>
      <c r="I5" s="37" t="s">
        <v>200</v>
      </c>
      <c r="J5" s="37" t="s">
        <v>200</v>
      </c>
      <c r="K5" s="37" t="n">
        <v>60</v>
      </c>
      <c r="L5" s="37" t="n">
        <v>41</v>
      </c>
      <c r="M5" s="38" t="n">
        <f aca="false">IF(N(K5)&gt;0,L5/K5,"")</f>
        <v>0.683333333333333</v>
      </c>
      <c r="N5" s="37" t="n">
        <v>6</v>
      </c>
      <c r="O5" s="47" t="n">
        <f aca="false">IF(COUNTA(C5,H5,I5,J5)=0,"",(C5="Yes")+(H5="Yes")+(I5="Yes")+(J5="Yes"))</f>
        <v>4</v>
      </c>
      <c r="P5" s="32" t="s">
        <v>201</v>
      </c>
    </row>
    <row r="6" customFormat="false" ht="15" hidden="false" customHeight="false" outlineLevel="0" collapsed="false">
      <c r="A6" s="23" t="str">
        <f aca="false">Projects!A6</f>
        <v>P02</v>
      </c>
      <c r="B6" s="9" t="str">
        <f aca="false">IF(Projects!B6="","",Projects!B6)</f>
        <v>Project B - Integration services (SAMPLE)</v>
      </c>
      <c r="C6" s="37" t="s">
        <v>202</v>
      </c>
      <c r="D6" s="37" t="n">
        <v>0</v>
      </c>
      <c r="E6" s="37" t="n">
        <v>35</v>
      </c>
      <c r="F6" s="37" t="n">
        <v>0</v>
      </c>
      <c r="G6" s="50"/>
      <c r="H6" s="37" t="s">
        <v>203</v>
      </c>
      <c r="I6" s="37" t="s">
        <v>130</v>
      </c>
      <c r="J6" s="37" t="s">
        <v>203</v>
      </c>
      <c r="K6" s="37" t="n">
        <v>18</v>
      </c>
      <c r="L6" s="37" t="n">
        <v>9</v>
      </c>
      <c r="M6" s="38" t="n">
        <f aca="false">IF(N(K6)&gt;0,L6/K6,"")</f>
        <v>0.5</v>
      </c>
      <c r="N6" s="37" t="n">
        <v>4</v>
      </c>
      <c r="O6" s="47" t="n">
        <f aca="false">IF(COUNTA(C6,H6,I6,J6)=0,"",(C6="Yes")+(H6="Yes")+(I6="Yes")+(J6="Yes"))</f>
        <v>0</v>
      </c>
      <c r="P6" s="32" t="s">
        <v>201</v>
      </c>
    </row>
    <row r="7" customFormat="false" ht="15" hidden="false" customHeight="false" outlineLevel="0" collapsed="false">
      <c r="A7" s="23" t="str">
        <f aca="false">Projects!A7</f>
        <v>P03</v>
      </c>
      <c r="B7" s="9" t="str">
        <f aca="false">IF(Projects!B7="","",Projects!B7)</f>
        <v/>
      </c>
      <c r="C7" s="37"/>
      <c r="D7" s="37"/>
      <c r="E7" s="37"/>
      <c r="F7" s="37"/>
      <c r="G7" s="50"/>
      <c r="H7" s="37"/>
      <c r="I7" s="37"/>
      <c r="J7" s="37"/>
      <c r="K7" s="37"/>
      <c r="L7" s="37"/>
      <c r="M7" s="38" t="str">
        <f aca="false">IF(N(K7)&gt;0,L7/K7,"")</f>
        <v/>
      </c>
      <c r="N7" s="37"/>
      <c r="O7" s="47" t="str">
        <f aca="false">IF(COUNTA(C7,H7,I7,J7)=0,"",(C7="Yes")+(H7="Yes")+(I7="Yes")+(J7="Yes"))</f>
        <v/>
      </c>
      <c r="P7" s="32"/>
    </row>
    <row r="8" customFormat="false" ht="15" hidden="false" customHeight="false" outlineLevel="0" collapsed="false">
      <c r="A8" s="23" t="str">
        <f aca="false">Projects!A8</f>
        <v>P04</v>
      </c>
      <c r="B8" s="9" t="str">
        <f aca="false">IF(Projects!B8="","",Projects!B8)</f>
        <v/>
      </c>
      <c r="C8" s="37"/>
      <c r="D8" s="37"/>
      <c r="E8" s="37"/>
      <c r="F8" s="37"/>
      <c r="G8" s="50"/>
      <c r="H8" s="37"/>
      <c r="I8" s="37"/>
      <c r="J8" s="37"/>
      <c r="K8" s="37"/>
      <c r="L8" s="37"/>
      <c r="M8" s="38" t="str">
        <f aca="false">IF(N(K8)&gt;0,L8/K8,"")</f>
        <v/>
      </c>
      <c r="N8" s="37"/>
      <c r="O8" s="47" t="str">
        <f aca="false">IF(COUNTA(C8,H8,I8,J8)=0,"",(C8="Yes")+(H8="Yes")+(I8="Yes")+(J8="Yes"))</f>
        <v/>
      </c>
      <c r="P8" s="32"/>
    </row>
    <row r="9" customFormat="false" ht="15" hidden="false" customHeight="false" outlineLevel="0" collapsed="false">
      <c r="A9" s="23" t="str">
        <f aca="false">Projects!A9</f>
        <v>P05</v>
      </c>
      <c r="B9" s="9" t="str">
        <f aca="false">IF(Projects!B9="","",Projects!B9)</f>
        <v/>
      </c>
      <c r="C9" s="37"/>
      <c r="D9" s="37"/>
      <c r="E9" s="37"/>
      <c r="F9" s="37"/>
      <c r="G9" s="50"/>
      <c r="H9" s="37"/>
      <c r="I9" s="37"/>
      <c r="J9" s="37"/>
      <c r="K9" s="37"/>
      <c r="L9" s="37"/>
      <c r="M9" s="38" t="str">
        <f aca="false">IF(N(K9)&gt;0,L9/K9,"")</f>
        <v/>
      </c>
      <c r="N9" s="37"/>
      <c r="O9" s="47" t="str">
        <f aca="false">IF(COUNTA(C9,H9,I9,J9)=0,"",(C9="Yes")+(H9="Yes")+(I9="Yes")+(J9="Yes"))</f>
        <v/>
      </c>
      <c r="P9" s="32"/>
    </row>
    <row r="10" customFormat="false" ht="15" hidden="false" customHeight="false" outlineLevel="0" collapsed="false">
      <c r="A10" s="23" t="str">
        <f aca="false">Projects!A10</f>
        <v>P06</v>
      </c>
      <c r="B10" s="9" t="str">
        <f aca="false">IF(Projects!B10="","",Projects!B10)</f>
        <v/>
      </c>
      <c r="C10" s="37"/>
      <c r="D10" s="37"/>
      <c r="E10" s="37"/>
      <c r="F10" s="37"/>
      <c r="G10" s="50"/>
      <c r="H10" s="37"/>
      <c r="I10" s="37"/>
      <c r="J10" s="37"/>
      <c r="K10" s="37"/>
      <c r="L10" s="37"/>
      <c r="M10" s="38" t="str">
        <f aca="false">IF(N(K10)&gt;0,L10/K10,"")</f>
        <v/>
      </c>
      <c r="N10" s="37"/>
      <c r="O10" s="47" t="str">
        <f aca="false">IF(COUNTA(C10,H10,I10,J10)=0,"",(C10="Yes")+(H10="Yes")+(I10="Yes")+(J10="Yes"))</f>
        <v/>
      </c>
      <c r="P10" s="32"/>
    </row>
    <row r="11" customFormat="false" ht="15" hidden="false" customHeight="false" outlineLevel="0" collapsed="false">
      <c r="A11" s="23" t="str">
        <f aca="false">Projects!A11</f>
        <v>P07</v>
      </c>
      <c r="B11" s="9" t="str">
        <f aca="false">IF(Projects!B11="","",Projects!B11)</f>
        <v/>
      </c>
      <c r="C11" s="37"/>
      <c r="D11" s="37"/>
      <c r="E11" s="37"/>
      <c r="F11" s="37"/>
      <c r="G11" s="50"/>
      <c r="H11" s="37"/>
      <c r="I11" s="37"/>
      <c r="J11" s="37"/>
      <c r="K11" s="37"/>
      <c r="L11" s="37"/>
      <c r="M11" s="38" t="str">
        <f aca="false">IF(N(K11)&gt;0,L11/K11,"")</f>
        <v/>
      </c>
      <c r="N11" s="37"/>
      <c r="O11" s="47" t="str">
        <f aca="false">IF(COUNTA(C11,H11,I11,J11)=0,"",(C11="Yes")+(H11="Yes")+(I11="Yes")+(J11="Yes"))</f>
        <v/>
      </c>
      <c r="P11" s="32"/>
    </row>
    <row r="12" customFormat="false" ht="15" hidden="false" customHeight="false" outlineLevel="0" collapsed="false">
      <c r="A12" s="23" t="str">
        <f aca="false">Projects!A12</f>
        <v>P08</v>
      </c>
      <c r="B12" s="9" t="str">
        <f aca="false">IF(Projects!B12="","",Projects!B12)</f>
        <v/>
      </c>
      <c r="C12" s="37"/>
      <c r="D12" s="37"/>
      <c r="E12" s="37"/>
      <c r="F12" s="37"/>
      <c r="G12" s="50"/>
      <c r="H12" s="37"/>
      <c r="I12" s="37"/>
      <c r="J12" s="37"/>
      <c r="K12" s="37"/>
      <c r="L12" s="37"/>
      <c r="M12" s="38" t="str">
        <f aca="false">IF(N(K12)&gt;0,L12/K12,"")</f>
        <v/>
      </c>
      <c r="N12" s="37"/>
      <c r="O12" s="47" t="str">
        <f aca="false">IF(COUNTA(C12,H12,I12,J12)=0,"",(C12="Yes")+(H12="Yes")+(I12="Yes")+(J12="Yes"))</f>
        <v/>
      </c>
      <c r="P12" s="32"/>
    </row>
    <row r="13" customFormat="false" ht="15" hidden="false" customHeight="false" outlineLevel="0" collapsed="false">
      <c r="A13" s="23" t="str">
        <f aca="false">Projects!A13</f>
        <v>P09</v>
      </c>
      <c r="B13" s="9" t="str">
        <f aca="false">IF(Projects!B13="","",Projects!B13)</f>
        <v/>
      </c>
      <c r="C13" s="37"/>
      <c r="D13" s="37"/>
      <c r="E13" s="37"/>
      <c r="F13" s="37"/>
      <c r="G13" s="50"/>
      <c r="H13" s="37"/>
      <c r="I13" s="37"/>
      <c r="J13" s="37"/>
      <c r="K13" s="37"/>
      <c r="L13" s="37"/>
      <c r="M13" s="38" t="str">
        <f aca="false">IF(N(K13)&gt;0,L13/K13,"")</f>
        <v/>
      </c>
      <c r="N13" s="37"/>
      <c r="O13" s="47" t="str">
        <f aca="false">IF(COUNTA(C13,H13,I13,J13)=0,"",(C13="Yes")+(H13="Yes")+(I13="Yes")+(J13="Yes"))</f>
        <v/>
      </c>
      <c r="P13" s="32"/>
    </row>
    <row r="14" customFormat="false" ht="15" hidden="false" customHeight="false" outlineLevel="0" collapsed="false">
      <c r="A14" s="23" t="str">
        <f aca="false">Projects!A14</f>
        <v>P10</v>
      </c>
      <c r="B14" s="9" t="str">
        <f aca="false">IF(Projects!B14="","",Projects!B14)</f>
        <v/>
      </c>
      <c r="C14" s="37"/>
      <c r="D14" s="37"/>
      <c r="E14" s="37"/>
      <c r="F14" s="37"/>
      <c r="G14" s="50"/>
      <c r="H14" s="37"/>
      <c r="I14" s="37"/>
      <c r="J14" s="37"/>
      <c r="K14" s="37"/>
      <c r="L14" s="37"/>
      <c r="M14" s="38" t="str">
        <f aca="false">IF(N(K14)&gt;0,L14/K14,"")</f>
        <v/>
      </c>
      <c r="N14" s="37"/>
      <c r="O14" s="47" t="str">
        <f aca="false">IF(COUNTA(C14,H14,I14,J14)=0,"",(C14="Yes")+(H14="Yes")+(I14="Yes")+(J14="Yes"))</f>
        <v/>
      </c>
      <c r="P14" s="32"/>
    </row>
    <row r="15" customFormat="false" ht="15" hidden="false" customHeight="false" outlineLevel="0" collapsed="false">
      <c r="A15" s="34"/>
      <c r="B15" s="35" t="s">
        <v>204</v>
      </c>
      <c r="C15" s="34"/>
      <c r="D15" s="41" t="n">
        <f aca="false">SUM(D5:D14)</f>
        <v>12</v>
      </c>
      <c r="E15" s="41" t="n">
        <f aca="false">SUM(E5:E14)</f>
        <v>58</v>
      </c>
      <c r="F15" s="41" t="n">
        <f aca="false">SUM(F5:F14)</f>
        <v>4</v>
      </c>
      <c r="G15" s="34"/>
      <c r="H15" s="34"/>
      <c r="I15" s="34"/>
      <c r="J15" s="34"/>
      <c r="K15" s="41" t="n">
        <f aca="false">SUM(K5:K14)</f>
        <v>78</v>
      </c>
      <c r="L15" s="41" t="n">
        <f aca="false">SUM(L5:L14)</f>
        <v>50</v>
      </c>
      <c r="M15" s="42" t="n">
        <f aca="false">IF(K15&gt;0,L15/K15,"")</f>
        <v>0.641025641025641</v>
      </c>
      <c r="N15" s="41" t="n">
        <f aca="false">SUM(N5:N14)</f>
        <v>10</v>
      </c>
      <c r="O15" s="34"/>
      <c r="P15" s="34"/>
    </row>
    <row r="17" customFormat="false" ht="15" hidden="false" customHeight="false" outlineLevel="0" collapsed="false">
      <c r="B17" s="30" t="s">
        <v>205</v>
      </c>
    </row>
    <row r="18" customFormat="false" ht="15" hidden="false" customHeight="false" outlineLevel="0" collapsed="false">
      <c r="B18" s="30" t="s">
        <v>206</v>
      </c>
    </row>
  </sheetData>
  <mergeCells count="3">
    <mergeCell ref="A1:P2"/>
    <mergeCell ref="C3:J3"/>
    <mergeCell ref="K3:N3"/>
  </mergeCells>
  <conditionalFormatting sqref="C5:C14">
    <cfRule type="cellIs" priority="2" operator="equal" aboveAverage="0" equalAverage="0" bottom="0" percent="0" rank="0" text="" dxfId="2">
      <formula>"Yes"</formula>
    </cfRule>
    <cfRule type="cellIs" priority="3" operator="equal" aboveAverage="0" equalAverage="0" bottom="0" percent="0" rank="0" text="" dxfId="3">
      <formula>"Partial"</formula>
    </cfRule>
    <cfRule type="cellIs" priority="4" operator="equal" aboveAverage="0" equalAverage="0" bottom="0" percent="0" rank="0" text="" dxfId="5">
      <formula>"No"</formula>
    </cfRule>
  </conditionalFormatting>
  <conditionalFormatting sqref="H5:H14">
    <cfRule type="cellIs" priority="5" operator="equal" aboveAverage="0" equalAverage="0" bottom="0" percent="0" rank="0" text="" dxfId="2">
      <formula>"Yes"</formula>
    </cfRule>
    <cfRule type="cellIs" priority="6" operator="equal" aboveAverage="0" equalAverage="0" bottom="0" percent="0" rank="0" text="" dxfId="5">
      <formula>"No"</formula>
    </cfRule>
  </conditionalFormatting>
  <conditionalFormatting sqref="I5:I14">
    <cfRule type="cellIs" priority="7" operator="equal" aboveAverage="0" equalAverage="0" bottom="0" percent="0" rank="0" text="" dxfId="2">
      <formula>"Yes"</formula>
    </cfRule>
    <cfRule type="cellIs" priority="8" operator="equal" aboveAverage="0" equalAverage="0" bottom="0" percent="0" rank="0" text="" dxfId="3">
      <formula>"Pilot"</formula>
    </cfRule>
    <cfRule type="cellIs" priority="9" operator="equal" aboveAverage="0" equalAverage="0" bottom="0" percent="0" rank="0" text="" dxfId="5">
      <formula>"No"</formula>
    </cfRule>
  </conditionalFormatting>
  <conditionalFormatting sqref="J5:J14">
    <cfRule type="cellIs" priority="10" operator="equal" aboveAverage="0" equalAverage="0" bottom="0" percent="0" rank="0" text="" dxfId="2">
      <formula>"Yes"</formula>
    </cfRule>
    <cfRule type="cellIs" priority="11" operator="equal" aboveAverage="0" equalAverage="0" bottom="0" percent="0" rank="0" text="" dxfId="5">
      <formula>"No"</formula>
    </cfRule>
  </conditionalFormatting>
  <conditionalFormatting sqref="M5:M14">
    <cfRule type="dataBar" priority="12">
      <dataBar showValue="1" minLength="10" maxLength="90">
        <cfvo type="num" val="0"/>
        <cfvo type="num" val="1"/>
        <color rgb="FF1F6F78"/>
      </dataBar>
      <extLst>
        <ext xmlns:x14="http://schemas.microsoft.com/office/spreadsheetml/2009/9/main" uri="{B025F937-C7B1-47D3-B67F-A62EFF666E3E}">
          <x14:id>{F02211E5-26D6-4C28-8890-D0D1F0AC4A70}</x14:id>
        </ext>
      </extLst>
    </cfRule>
  </conditionalFormatting>
  <conditionalFormatting sqref="O5:O14">
    <cfRule type="cellIs" priority="13" operator="greaterThanOrEqual" aboveAverage="0" equalAverage="0" bottom="0" percent="0" rank="0" text="" dxfId="2">
      <formula>3</formula>
    </cfRule>
    <cfRule type="cellIs" priority="14" operator="between" aboveAverage="0" equalAverage="0" bottom="0" percent="0" rank="0" text="" dxfId="3">
      <formula>1</formula>
      <formula>2</formula>
    </cfRule>
  </conditionalFormatting>
  <dataValidations count="4">
    <dataValidation allowBlank="true" errorStyle="stop" operator="between" showDropDown="false" showErrorMessage="false" showInputMessage="false" sqref="C5:C14" type="list">
      <formula1>"Yes,Partial,No"</formula1>
      <formula2>0</formula2>
    </dataValidation>
    <dataValidation allowBlank="true" errorStyle="stop" operator="between" showDropDown="false" showErrorMessage="false" showInputMessage="false" sqref="H5:H14" type="list">
      <formula1>"Yes,No"</formula1>
      <formula2>0</formula2>
    </dataValidation>
    <dataValidation allowBlank="true" errorStyle="stop" operator="between" showDropDown="false" showErrorMessage="false" showInputMessage="false" sqref="I5:I14" type="list">
      <formula1>"Yes,Pilot,No"</formula1>
      <formula2>0</formula2>
    </dataValidation>
    <dataValidation allowBlank="true" errorStyle="stop" operator="between" showDropDown="false" showErrorMessage="false" showInputMessage="false" sqref="J5:J1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2211E5-26D6-4C28-8890-D0D1F0AC4A7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6F78"/>
              <x14:axisColor rgb="FF000000"/>
            </x14:dataBar>
          </x14:cfRule>
          <xm:sqref>M5:M14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tru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4" min="3" style="0" width="14"/>
    <col collapsed="false" customWidth="true" hidden="false" outlineLevel="0" max="7" min="5" style="0" width="12"/>
    <col collapsed="false" customWidth="true" hidden="false" outlineLevel="0" max="9" min="8" style="0" width="14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21.75" hidden="false" customHeight="true" outlineLevel="0" collapsed="false">
      <c r="A1" s="1" t="s">
        <v>207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 t="s">
        <v>208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9.75" hidden="false" customHeight="true" outlineLevel="0" collapsed="false">
      <c r="A4" s="12" t="s">
        <v>107</v>
      </c>
      <c r="B4" s="12" t="s">
        <v>93</v>
      </c>
      <c r="C4" s="12" t="s">
        <v>209</v>
      </c>
      <c r="D4" s="12" t="s">
        <v>210</v>
      </c>
      <c r="E4" s="12" t="s">
        <v>211</v>
      </c>
      <c r="F4" s="12" t="s">
        <v>212</v>
      </c>
      <c r="G4" s="12" t="s">
        <v>213</v>
      </c>
      <c r="H4" s="12" t="s">
        <v>214</v>
      </c>
      <c r="I4" s="12" t="s">
        <v>215</v>
      </c>
      <c r="J4" s="12" t="s">
        <v>216</v>
      </c>
      <c r="K4" s="12" t="s">
        <v>217</v>
      </c>
    </row>
    <row r="5" customFormat="false" ht="15" hidden="false" customHeight="false" outlineLevel="0" collapsed="false">
      <c r="A5" s="23" t="str">
        <f aca="false">Projects!A5</f>
        <v>P01</v>
      </c>
      <c r="B5" s="9" t="str">
        <f aca="false">IF(Projects!B5="","",Projects!B5)</f>
        <v>Project A - Viewer platform (SAMPLE)</v>
      </c>
      <c r="C5" s="37" t="s">
        <v>130</v>
      </c>
      <c r="D5" s="37" t="s">
        <v>130</v>
      </c>
      <c r="E5" s="37" t="s">
        <v>218</v>
      </c>
      <c r="F5" s="37" t="s">
        <v>218</v>
      </c>
      <c r="G5" s="37" t="s">
        <v>130</v>
      </c>
      <c r="H5" s="37" t="s">
        <v>218</v>
      </c>
      <c r="I5" s="37" t="s">
        <v>219</v>
      </c>
      <c r="J5" s="47" t="n">
        <f aca="false">IF(COUNTA(C5:I5)=0,"",COUNTIF(C5:I5,"Regular"))</f>
        <v>3</v>
      </c>
      <c r="K5" s="38" t="n">
        <f aca="false">IF(J5="","",J5/7)</f>
        <v>0.428571428571429</v>
      </c>
    </row>
    <row r="6" customFormat="false" ht="15" hidden="false" customHeight="false" outlineLevel="0" collapsed="false">
      <c r="A6" s="23" t="str">
        <f aca="false">Projects!A6</f>
        <v>P02</v>
      </c>
      <c r="B6" s="9" t="str">
        <f aca="false">IF(Projects!B6="","",Projects!B6)</f>
        <v>Project B - Integration services (SAMPLE)</v>
      </c>
      <c r="C6" s="37" t="s">
        <v>219</v>
      </c>
      <c r="D6" s="37" t="s">
        <v>219</v>
      </c>
      <c r="E6" s="37" t="s">
        <v>218</v>
      </c>
      <c r="F6" s="37" t="s">
        <v>130</v>
      </c>
      <c r="G6" s="37" t="s">
        <v>219</v>
      </c>
      <c r="H6" s="37" t="s">
        <v>130</v>
      </c>
      <c r="I6" s="37" t="s">
        <v>219</v>
      </c>
      <c r="J6" s="47" t="n">
        <f aca="false">IF(COUNTA(C6:I6)=0,"",COUNTIF(C6:I6,"Regular"))</f>
        <v>1</v>
      </c>
      <c r="K6" s="38" t="n">
        <f aca="false">IF(J6="","",J6/7)</f>
        <v>0.142857142857143</v>
      </c>
    </row>
    <row r="7" customFormat="false" ht="15" hidden="false" customHeight="false" outlineLevel="0" collapsed="false">
      <c r="A7" s="23" t="str">
        <f aca="false">Projects!A7</f>
        <v>P03</v>
      </c>
      <c r="B7" s="9" t="str">
        <f aca="false">IF(Projects!B7="","",Projects!B7)</f>
        <v/>
      </c>
      <c r="C7" s="37"/>
      <c r="D7" s="37"/>
      <c r="E7" s="37"/>
      <c r="F7" s="37"/>
      <c r="G7" s="37"/>
      <c r="H7" s="37"/>
      <c r="I7" s="37"/>
      <c r="J7" s="47" t="str">
        <f aca="false">IF(COUNTA(C7:I7)=0,"",COUNTIF(C7:I7,"Regular"))</f>
        <v/>
      </c>
      <c r="K7" s="38" t="str">
        <f aca="false">IF(J7="","",J7/7)</f>
        <v/>
      </c>
    </row>
    <row r="8" customFormat="false" ht="15" hidden="false" customHeight="false" outlineLevel="0" collapsed="false">
      <c r="A8" s="23" t="str">
        <f aca="false">Projects!A8</f>
        <v>P04</v>
      </c>
      <c r="B8" s="9" t="str">
        <f aca="false">IF(Projects!B8="","",Projects!B8)</f>
        <v/>
      </c>
      <c r="C8" s="37"/>
      <c r="D8" s="37"/>
      <c r="E8" s="37"/>
      <c r="F8" s="37"/>
      <c r="G8" s="37"/>
      <c r="H8" s="37"/>
      <c r="I8" s="37"/>
      <c r="J8" s="47" t="str">
        <f aca="false">IF(COUNTA(C8:I8)=0,"",COUNTIF(C8:I8,"Regular"))</f>
        <v/>
      </c>
      <c r="K8" s="38" t="str">
        <f aca="false">IF(J8="","",J8/7)</f>
        <v/>
      </c>
    </row>
    <row r="9" customFormat="false" ht="15" hidden="false" customHeight="false" outlineLevel="0" collapsed="false">
      <c r="A9" s="23" t="str">
        <f aca="false">Projects!A9</f>
        <v>P05</v>
      </c>
      <c r="B9" s="9" t="str">
        <f aca="false">IF(Projects!B9="","",Projects!B9)</f>
        <v/>
      </c>
      <c r="C9" s="37"/>
      <c r="D9" s="37"/>
      <c r="E9" s="37"/>
      <c r="F9" s="37"/>
      <c r="G9" s="37"/>
      <c r="H9" s="37"/>
      <c r="I9" s="37"/>
      <c r="J9" s="47" t="str">
        <f aca="false">IF(COUNTA(C9:I9)=0,"",COUNTIF(C9:I9,"Regular"))</f>
        <v/>
      </c>
      <c r="K9" s="38" t="str">
        <f aca="false">IF(J9="","",J9/7)</f>
        <v/>
      </c>
    </row>
    <row r="10" customFormat="false" ht="15" hidden="false" customHeight="false" outlineLevel="0" collapsed="false">
      <c r="A10" s="23" t="str">
        <f aca="false">Projects!A10</f>
        <v>P06</v>
      </c>
      <c r="B10" s="9" t="str">
        <f aca="false">IF(Projects!B10="","",Projects!B10)</f>
        <v/>
      </c>
      <c r="C10" s="37"/>
      <c r="D10" s="37"/>
      <c r="E10" s="37"/>
      <c r="F10" s="37"/>
      <c r="G10" s="37"/>
      <c r="H10" s="37"/>
      <c r="I10" s="37"/>
      <c r="J10" s="47" t="str">
        <f aca="false">IF(COUNTA(C10:I10)=0,"",COUNTIF(C10:I10,"Regular"))</f>
        <v/>
      </c>
      <c r="K10" s="38" t="str">
        <f aca="false">IF(J10="","",J10/7)</f>
        <v/>
      </c>
    </row>
    <row r="11" customFormat="false" ht="15" hidden="false" customHeight="false" outlineLevel="0" collapsed="false">
      <c r="A11" s="23" t="str">
        <f aca="false">Projects!A11</f>
        <v>P07</v>
      </c>
      <c r="B11" s="9" t="str">
        <f aca="false">IF(Projects!B11="","",Projects!B11)</f>
        <v/>
      </c>
      <c r="C11" s="37"/>
      <c r="D11" s="37"/>
      <c r="E11" s="37"/>
      <c r="F11" s="37"/>
      <c r="G11" s="37"/>
      <c r="H11" s="37"/>
      <c r="I11" s="37"/>
      <c r="J11" s="47" t="str">
        <f aca="false">IF(COUNTA(C11:I11)=0,"",COUNTIF(C11:I11,"Regular"))</f>
        <v/>
      </c>
      <c r="K11" s="38" t="str">
        <f aca="false">IF(J11="","",J11/7)</f>
        <v/>
      </c>
    </row>
    <row r="12" customFormat="false" ht="15" hidden="false" customHeight="false" outlineLevel="0" collapsed="false">
      <c r="A12" s="23" t="str">
        <f aca="false">Projects!A12</f>
        <v>P08</v>
      </c>
      <c r="B12" s="9" t="str">
        <f aca="false">IF(Projects!B12="","",Projects!B12)</f>
        <v/>
      </c>
      <c r="C12" s="37"/>
      <c r="D12" s="37"/>
      <c r="E12" s="37"/>
      <c r="F12" s="37"/>
      <c r="G12" s="37"/>
      <c r="H12" s="37"/>
      <c r="I12" s="37"/>
      <c r="J12" s="47" t="str">
        <f aca="false">IF(COUNTA(C12:I12)=0,"",COUNTIF(C12:I12,"Regular"))</f>
        <v/>
      </c>
      <c r="K12" s="38" t="str">
        <f aca="false">IF(J12="","",J12/7)</f>
        <v/>
      </c>
    </row>
    <row r="13" customFormat="false" ht="15" hidden="false" customHeight="false" outlineLevel="0" collapsed="false">
      <c r="A13" s="23" t="str">
        <f aca="false">Projects!A13</f>
        <v>P09</v>
      </c>
      <c r="B13" s="9" t="str">
        <f aca="false">IF(Projects!B13="","",Projects!B13)</f>
        <v/>
      </c>
      <c r="C13" s="37"/>
      <c r="D13" s="37"/>
      <c r="E13" s="37"/>
      <c r="F13" s="37"/>
      <c r="G13" s="37"/>
      <c r="H13" s="37"/>
      <c r="I13" s="37"/>
      <c r="J13" s="47" t="str">
        <f aca="false">IF(COUNTA(C13:I13)=0,"",COUNTIF(C13:I13,"Regular"))</f>
        <v/>
      </c>
      <c r="K13" s="38" t="str">
        <f aca="false">IF(J13="","",J13/7)</f>
        <v/>
      </c>
    </row>
    <row r="14" customFormat="false" ht="15" hidden="false" customHeight="false" outlineLevel="0" collapsed="false">
      <c r="A14" s="23" t="str">
        <f aca="false">Projects!A14</f>
        <v>P10</v>
      </c>
      <c r="B14" s="9" t="str">
        <f aca="false">IF(Projects!B14="","",Projects!B14)</f>
        <v/>
      </c>
      <c r="C14" s="37"/>
      <c r="D14" s="37"/>
      <c r="E14" s="37"/>
      <c r="F14" s="37"/>
      <c r="G14" s="37"/>
      <c r="H14" s="37"/>
      <c r="I14" s="37"/>
      <c r="J14" s="47" t="str">
        <f aca="false">IF(COUNTA(C14:I14)=0,"",COUNTIF(C14:I14,"Regular"))</f>
        <v/>
      </c>
      <c r="K14" s="38" t="str">
        <f aca="false">IF(J14="","",J14/7)</f>
        <v/>
      </c>
    </row>
    <row r="15" customFormat="false" ht="15" hidden="false" customHeight="false" outlineLevel="0" collapsed="false">
      <c r="A15" s="34"/>
      <c r="B15" s="35" t="s">
        <v>220</v>
      </c>
      <c r="C15" s="41" t="n">
        <f aca="false">COUNTIF(C5:C14,"Regular")</f>
        <v>0</v>
      </c>
      <c r="D15" s="41" t="n">
        <f aca="false">COUNTIF(D5:D14,"Regular")</f>
        <v>0</v>
      </c>
      <c r="E15" s="41" t="n">
        <f aca="false">COUNTIF(E5:E14,"Regular")</f>
        <v>2</v>
      </c>
      <c r="F15" s="41" t="n">
        <f aca="false">COUNTIF(F5:F14,"Regular")</f>
        <v>1</v>
      </c>
      <c r="G15" s="41" t="n">
        <f aca="false">COUNTIF(G5:G14,"Regular")</f>
        <v>0</v>
      </c>
      <c r="H15" s="41" t="n">
        <f aca="false">COUNTIF(H5:H14,"Regular")</f>
        <v>1</v>
      </c>
      <c r="I15" s="41" t="n">
        <f aca="false">COUNTIF(I5:I14,"Regular")</f>
        <v>0</v>
      </c>
      <c r="J15" s="34"/>
      <c r="K15" s="34"/>
    </row>
    <row r="16" customFormat="false" ht="15" hidden="false" customHeight="false" outlineLevel="0" collapsed="false">
      <c r="A16" s="34"/>
      <c r="B16" s="35" t="s">
        <v>221</v>
      </c>
      <c r="C16" s="41" t="n">
        <f aca="false">COUNTIF(C5:C14,"Pilot")</f>
        <v>1</v>
      </c>
      <c r="D16" s="41" t="n">
        <f aca="false">COUNTIF(D5:D14,"Pilot")</f>
        <v>1</v>
      </c>
      <c r="E16" s="41" t="n">
        <f aca="false">COUNTIF(E5:E14,"Pilot")</f>
        <v>0</v>
      </c>
      <c r="F16" s="41" t="n">
        <f aca="false">COUNTIF(F5:F14,"Pilot")</f>
        <v>1</v>
      </c>
      <c r="G16" s="41" t="n">
        <f aca="false">COUNTIF(G5:G14,"Pilot")</f>
        <v>1</v>
      </c>
      <c r="H16" s="41" t="n">
        <f aca="false">COUNTIF(H5:H14,"Pilot")</f>
        <v>1</v>
      </c>
      <c r="I16" s="41" t="n">
        <f aca="false">COUNTIF(I5:I14,"Pilot")</f>
        <v>0</v>
      </c>
      <c r="J16" s="34"/>
      <c r="K16" s="34"/>
    </row>
  </sheetData>
  <mergeCells count="2">
    <mergeCell ref="A1:K2"/>
    <mergeCell ref="A3:K3"/>
  </mergeCells>
  <conditionalFormatting sqref="C5:I14">
    <cfRule type="cellIs" priority="2" operator="equal" aboveAverage="0" equalAverage="0" bottom="0" percent="0" rank="0" text="" dxfId="6">
      <formula>"Regular"</formula>
    </cfRule>
    <cfRule type="cellIs" priority="3" operator="equal" aboveAverage="0" equalAverage="0" bottom="0" percent="0" rank="0" text="" dxfId="3">
      <formula>"Pilot"</formula>
    </cfRule>
    <cfRule type="cellIs" priority="4" operator="equal" aboveAverage="0" equalAverage="0" bottom="0" percent="0" rank="0" text="" dxfId="5">
      <formula>"None"</formula>
    </cfRule>
  </conditionalFormatting>
  <dataValidations count="1">
    <dataValidation allowBlank="true" errorStyle="stop" operator="between" showDropDown="false" showErrorMessage="false" showInputMessage="false" sqref="C5:I14" type="list">
      <formula1>"None,Pilot,Regular"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261E"/>
    <pageSetUpPr fitToPage="tru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30"/>
    <col collapsed="false" customWidth="true" hidden="false" outlineLevel="0" max="4" min="4" style="0" width="5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2"/>
  </cols>
  <sheetData>
    <row r="1" customFormat="false" ht="21.75" hidden="false" customHeight="true" outlineLevel="0" collapsed="false">
      <c r="A1" s="1" t="s">
        <v>222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 t="s">
        <v>223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9.75" hidden="false" customHeight="true" outlineLevel="0" collapsed="false">
      <c r="A4" s="12" t="s">
        <v>224</v>
      </c>
      <c r="B4" s="12" t="s">
        <v>225</v>
      </c>
      <c r="C4" s="12" t="s">
        <v>226</v>
      </c>
      <c r="D4" s="12" t="s">
        <v>227</v>
      </c>
      <c r="E4" s="12" t="s">
        <v>228</v>
      </c>
      <c r="F4" s="12" t="s">
        <v>229</v>
      </c>
      <c r="G4" s="12" t="s">
        <v>230</v>
      </c>
      <c r="H4" s="12" t="s">
        <v>231</v>
      </c>
      <c r="I4" s="12" t="s">
        <v>232</v>
      </c>
      <c r="J4" s="12" t="s">
        <v>98</v>
      </c>
      <c r="K4" s="12" t="s">
        <v>233</v>
      </c>
    </row>
    <row r="5" customFormat="false" ht="43.5" hidden="false" customHeight="true" outlineLevel="0" collapsed="false">
      <c r="A5" s="47" t="n">
        <v>1</v>
      </c>
      <c r="B5" s="51" t="s">
        <v>234</v>
      </c>
      <c r="C5" s="51" t="s">
        <v>235</v>
      </c>
      <c r="D5" s="51" t="s">
        <v>236</v>
      </c>
      <c r="E5" s="37" t="s">
        <v>237</v>
      </c>
      <c r="F5" s="37" t="s">
        <v>238</v>
      </c>
      <c r="G5" s="47" t="n">
        <f aca="false">IFERROR(MATCH(E5,{"Low","Medium","High"},0)*MATCH(F5,{"Low","Medium","High"},0),"")</f>
        <v>2</v>
      </c>
      <c r="H5" s="52" t="str">
        <f aca="false">IF(G5="","",IF(G5&gt;=6,"High",IF(G5&gt;=3,"Medium","Low")))</f>
        <v>Low</v>
      </c>
      <c r="I5" s="6"/>
      <c r="J5" s="37" t="s">
        <v>239</v>
      </c>
      <c r="K5" s="50"/>
    </row>
    <row r="6" customFormat="false" ht="43.5" hidden="false" customHeight="true" outlineLevel="0" collapsed="false">
      <c r="A6" s="47" t="n">
        <v>2</v>
      </c>
      <c r="B6" s="51" t="s">
        <v>240</v>
      </c>
      <c r="C6" s="51" t="s">
        <v>241</v>
      </c>
      <c r="D6" s="51" t="s">
        <v>242</v>
      </c>
      <c r="E6" s="37" t="s">
        <v>237</v>
      </c>
      <c r="F6" s="37" t="s">
        <v>243</v>
      </c>
      <c r="G6" s="47" t="n">
        <f aca="false">IFERROR(MATCH(E6,{"Low","Medium","High"},0)*MATCH(F6,{"Low","Medium","High"},0),"")</f>
        <v>6</v>
      </c>
      <c r="H6" s="52" t="str">
        <f aca="false">IF(G6="","",IF(G6&gt;=6,"High",IF(G6&gt;=3,"Medium","Low")))</f>
        <v>High</v>
      </c>
      <c r="I6" s="6"/>
      <c r="J6" s="37" t="s">
        <v>239</v>
      </c>
      <c r="K6" s="50"/>
    </row>
    <row r="7" customFormat="false" ht="43.5" hidden="false" customHeight="true" outlineLevel="0" collapsed="false">
      <c r="A7" s="47" t="n">
        <v>3</v>
      </c>
      <c r="B7" s="51" t="s">
        <v>244</v>
      </c>
      <c r="C7" s="51" t="s">
        <v>245</v>
      </c>
      <c r="D7" s="51" t="s">
        <v>246</v>
      </c>
      <c r="E7" s="37" t="s">
        <v>238</v>
      </c>
      <c r="F7" s="37" t="s">
        <v>243</v>
      </c>
      <c r="G7" s="47" t="n">
        <f aca="false">IFERROR(MATCH(E7,{"Low","Medium","High"},0)*MATCH(F7,{"Low","Medium","High"},0),"")</f>
        <v>3</v>
      </c>
      <c r="H7" s="52" t="str">
        <f aca="false">IF(G7="","",IF(G7&gt;=6,"High",IF(G7&gt;=3,"Medium","Low")))</f>
        <v>Medium</v>
      </c>
      <c r="I7" s="6"/>
      <c r="J7" s="37" t="s">
        <v>239</v>
      </c>
      <c r="K7" s="50"/>
    </row>
    <row r="8" customFormat="false" ht="43.5" hidden="false" customHeight="true" outlineLevel="0" collapsed="false">
      <c r="A8" s="47" t="n">
        <v>4</v>
      </c>
      <c r="B8" s="51" t="s">
        <v>247</v>
      </c>
      <c r="C8" s="51" t="s">
        <v>248</v>
      </c>
      <c r="D8" s="51" t="s">
        <v>249</v>
      </c>
      <c r="E8" s="37" t="s">
        <v>238</v>
      </c>
      <c r="F8" s="37" t="s">
        <v>243</v>
      </c>
      <c r="G8" s="47" t="n">
        <f aca="false">IFERROR(MATCH(E8,{"Low","Medium","High"},0)*MATCH(F8,{"Low","Medium","High"},0),"")</f>
        <v>3</v>
      </c>
      <c r="H8" s="52" t="str">
        <f aca="false">IF(G8="","",IF(G8&gt;=6,"High",IF(G8&gt;=3,"Medium","Low")))</f>
        <v>Medium</v>
      </c>
      <c r="I8" s="6"/>
      <c r="J8" s="37" t="s">
        <v>239</v>
      </c>
      <c r="K8" s="50"/>
    </row>
    <row r="9" customFormat="false" ht="43.5" hidden="false" customHeight="true" outlineLevel="0" collapsed="false">
      <c r="A9" s="47" t="n">
        <v>5</v>
      </c>
      <c r="B9" s="51" t="s">
        <v>250</v>
      </c>
      <c r="C9" s="51" t="s">
        <v>251</v>
      </c>
      <c r="D9" s="51" t="s">
        <v>252</v>
      </c>
      <c r="E9" s="37" t="s">
        <v>237</v>
      </c>
      <c r="F9" s="37" t="s">
        <v>237</v>
      </c>
      <c r="G9" s="47" t="n">
        <f aca="false">IFERROR(MATCH(E9,{"Low","Medium","High"},0)*MATCH(F9,{"Low","Medium","High"},0),"")</f>
        <v>4</v>
      </c>
      <c r="H9" s="52" t="str">
        <f aca="false">IF(G9="","",IF(G9&gt;=6,"High",IF(G9&gt;=3,"Medium","Low")))</f>
        <v>Medium</v>
      </c>
      <c r="I9" s="6"/>
      <c r="J9" s="37" t="s">
        <v>239</v>
      </c>
      <c r="K9" s="50"/>
    </row>
    <row r="10" customFormat="false" ht="43.5" hidden="false" customHeight="true" outlineLevel="0" collapsed="false">
      <c r="A10" s="47" t="n">
        <v>6</v>
      </c>
      <c r="B10" s="51" t="s">
        <v>253</v>
      </c>
      <c r="C10" s="51" t="s">
        <v>254</v>
      </c>
      <c r="D10" s="51" t="s">
        <v>255</v>
      </c>
      <c r="E10" s="37" t="s">
        <v>237</v>
      </c>
      <c r="F10" s="37" t="s">
        <v>237</v>
      </c>
      <c r="G10" s="47" t="n">
        <f aca="false">IFERROR(MATCH(E10,{"Low","Medium","High"},0)*MATCH(F10,{"Low","Medium","High"},0),"")</f>
        <v>4</v>
      </c>
      <c r="H10" s="52" t="str">
        <f aca="false">IF(G10="","",IF(G10&gt;=6,"High",IF(G10&gt;=3,"Medium","Low")))</f>
        <v>Medium</v>
      </c>
      <c r="I10" s="6"/>
      <c r="J10" s="37" t="s">
        <v>239</v>
      </c>
      <c r="K10" s="50"/>
    </row>
    <row r="11" customFormat="false" ht="43.5" hidden="false" customHeight="true" outlineLevel="0" collapsed="false">
      <c r="A11" s="47" t="n">
        <v>7</v>
      </c>
      <c r="B11" s="51" t="s">
        <v>256</v>
      </c>
      <c r="C11" s="51" t="s">
        <v>257</v>
      </c>
      <c r="D11" s="51" t="s">
        <v>258</v>
      </c>
      <c r="E11" s="37" t="s">
        <v>237</v>
      </c>
      <c r="F11" s="37" t="s">
        <v>237</v>
      </c>
      <c r="G11" s="47" t="n">
        <f aca="false">IFERROR(MATCH(E11,{"Low","Medium","High"},0)*MATCH(F11,{"Low","Medium","High"},0),"")</f>
        <v>4</v>
      </c>
      <c r="H11" s="52" t="str">
        <f aca="false">IF(G11="","",IF(G11&gt;=6,"High",IF(G11&gt;=3,"Medium","Low")))</f>
        <v>Medium</v>
      </c>
      <c r="I11" s="6"/>
      <c r="J11" s="37" t="s">
        <v>239</v>
      </c>
      <c r="K11" s="50"/>
    </row>
    <row r="12" customFormat="false" ht="43.5" hidden="false" customHeight="true" outlineLevel="0" collapsed="false">
      <c r="A12" s="47" t="n">
        <v>8</v>
      </c>
      <c r="B12" s="51" t="s">
        <v>259</v>
      </c>
      <c r="C12" s="51" t="s">
        <v>260</v>
      </c>
      <c r="D12" s="51" t="s">
        <v>261</v>
      </c>
      <c r="E12" s="37" t="s">
        <v>237</v>
      </c>
      <c r="F12" s="37" t="s">
        <v>243</v>
      </c>
      <c r="G12" s="47" t="n">
        <f aca="false">IFERROR(MATCH(E12,{"Low","Medium","High"},0)*MATCH(F12,{"Low","Medium","High"},0),"")</f>
        <v>6</v>
      </c>
      <c r="H12" s="52" t="str">
        <f aca="false">IF(G12="","",IF(G12&gt;=6,"High",IF(G12&gt;=3,"Medium","Low")))</f>
        <v>High</v>
      </c>
      <c r="I12" s="6"/>
      <c r="J12" s="37" t="s">
        <v>239</v>
      </c>
      <c r="K12" s="50"/>
    </row>
  </sheetData>
  <mergeCells count="2">
    <mergeCell ref="A1:K2"/>
    <mergeCell ref="A3:K3"/>
  </mergeCells>
  <conditionalFormatting sqref="H5:H20">
    <cfRule type="cellIs" priority="2" operator="equal" aboveAverage="0" equalAverage="0" bottom="0" percent="0" rank="0" text="" dxfId="4">
      <formula>"High"</formula>
    </cfRule>
    <cfRule type="cellIs" priority="3" operator="equal" aboveAverage="0" equalAverage="0" bottom="0" percent="0" rank="0" text="" dxfId="3">
      <formula>"Medium"</formula>
    </cfRule>
    <cfRule type="cellIs" priority="4" operator="equal" aboveAverage="0" equalAverage="0" bottom="0" percent="0" rank="0" text="" dxfId="2">
      <formula>"Low"</formula>
    </cfRule>
  </conditionalFormatting>
  <dataValidations count="2">
    <dataValidation allowBlank="true" errorStyle="stop" operator="between" showDropDown="false" showErrorMessage="false" showInputMessage="false" sqref="E5:F20" type="list">
      <formula1>"Low,Medium,High"</formula1>
      <formula2>0</formula2>
    </dataValidation>
    <dataValidation allowBlank="true" errorStyle="stop" operator="between" showDropDown="false" showErrorMessage="false" showInputMessage="false" sqref="J5:J20" type="list">
      <formula1>"Open,Mitigating,Accepted,Closed"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A3C"/>
    <pageSetUpPr fitToPage="tru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6"/>
  </cols>
  <sheetData>
    <row r="1" customFormat="false" ht="21.75" hidden="false" customHeight="true" outlineLevel="0" collapsed="false">
      <c r="A1" s="1" t="s">
        <v>262</v>
      </c>
      <c r="B1" s="1"/>
      <c r="C1" s="1"/>
      <c r="D1" s="1"/>
      <c r="E1" s="1"/>
      <c r="F1" s="1"/>
      <c r="G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 t="s">
        <v>263</v>
      </c>
      <c r="B3" s="2"/>
      <c r="C3" s="2"/>
      <c r="D3" s="2"/>
      <c r="E3" s="2"/>
      <c r="F3" s="2"/>
      <c r="G3" s="2"/>
    </row>
    <row r="4" customFormat="false" ht="39.75" hidden="false" customHeight="true" outlineLevel="0" collapsed="false">
      <c r="A4" s="12" t="s">
        <v>224</v>
      </c>
      <c r="B4" s="12" t="s">
        <v>264</v>
      </c>
      <c r="C4" s="12" t="s">
        <v>265</v>
      </c>
      <c r="D4" s="12" t="s">
        <v>232</v>
      </c>
      <c r="E4" s="12" t="s">
        <v>266</v>
      </c>
      <c r="F4" s="12" t="s">
        <v>98</v>
      </c>
      <c r="G4" s="12" t="s">
        <v>199</v>
      </c>
    </row>
    <row r="5" customFormat="false" ht="15" hidden="false" customHeight="false" outlineLevel="0" collapsed="false">
      <c r="A5" s="47" t="n">
        <v>1</v>
      </c>
      <c r="B5" s="32" t="s">
        <v>267</v>
      </c>
      <c r="C5" s="37" t="s">
        <v>268</v>
      </c>
      <c r="D5" s="6"/>
      <c r="E5" s="50"/>
      <c r="F5" s="37" t="s">
        <v>133</v>
      </c>
      <c r="G5" s="32"/>
    </row>
    <row r="6" customFormat="false" ht="15" hidden="false" customHeight="false" outlineLevel="0" collapsed="false">
      <c r="A6" s="47" t="n">
        <v>2</v>
      </c>
      <c r="B6" s="32" t="s">
        <v>269</v>
      </c>
      <c r="C6" s="37" t="s">
        <v>99</v>
      </c>
      <c r="D6" s="6"/>
      <c r="E6" s="50"/>
      <c r="F6" s="37" t="s">
        <v>133</v>
      </c>
      <c r="G6" s="32"/>
    </row>
    <row r="7" customFormat="false" ht="15" hidden="false" customHeight="false" outlineLevel="0" collapsed="false">
      <c r="A7" s="47" t="n">
        <v>3</v>
      </c>
      <c r="B7" s="32" t="s">
        <v>270</v>
      </c>
      <c r="C7" s="37" t="s">
        <v>271</v>
      </c>
      <c r="D7" s="6"/>
      <c r="E7" s="50"/>
      <c r="F7" s="37" t="s">
        <v>133</v>
      </c>
      <c r="G7" s="32"/>
    </row>
    <row r="8" customFormat="false" ht="15" hidden="false" customHeight="false" outlineLevel="0" collapsed="false">
      <c r="A8" s="47" t="n">
        <v>4</v>
      </c>
      <c r="B8" s="32" t="s">
        <v>272</v>
      </c>
      <c r="C8" s="37" t="s">
        <v>271</v>
      </c>
      <c r="D8" s="6"/>
      <c r="E8" s="50"/>
      <c r="F8" s="37" t="s">
        <v>133</v>
      </c>
      <c r="G8" s="32"/>
    </row>
    <row r="9" customFormat="false" ht="23.85" hidden="false" customHeight="false" outlineLevel="0" collapsed="false">
      <c r="A9" s="47" t="n">
        <v>5</v>
      </c>
      <c r="B9" s="32" t="s">
        <v>273</v>
      </c>
      <c r="C9" s="37" t="s">
        <v>99</v>
      </c>
      <c r="D9" s="6"/>
      <c r="E9" s="50"/>
      <c r="F9" s="37" t="s">
        <v>133</v>
      </c>
      <c r="G9" s="32"/>
    </row>
    <row r="10" customFormat="false" ht="15" hidden="false" customHeight="false" outlineLevel="0" collapsed="false">
      <c r="A10" s="47" t="n">
        <v>6</v>
      </c>
      <c r="B10" s="32" t="s">
        <v>274</v>
      </c>
      <c r="C10" s="37" t="s">
        <v>99</v>
      </c>
      <c r="D10" s="6"/>
      <c r="E10" s="50"/>
      <c r="F10" s="37" t="s">
        <v>133</v>
      </c>
      <c r="G10" s="32"/>
    </row>
    <row r="11" customFormat="false" ht="15" hidden="false" customHeight="false" outlineLevel="0" collapsed="false">
      <c r="A11" s="47" t="n">
        <v>7</v>
      </c>
      <c r="B11" s="32" t="s">
        <v>275</v>
      </c>
      <c r="C11" s="37" t="s">
        <v>276</v>
      </c>
      <c r="D11" s="6"/>
      <c r="E11" s="50"/>
      <c r="F11" s="37" t="s">
        <v>133</v>
      </c>
      <c r="G11" s="32"/>
    </row>
    <row r="12" customFormat="false" ht="15" hidden="false" customHeight="false" outlineLevel="0" collapsed="false">
      <c r="A12" s="47" t="n">
        <v>8</v>
      </c>
      <c r="B12" s="32" t="s">
        <v>277</v>
      </c>
      <c r="C12" s="37" t="s">
        <v>271</v>
      </c>
      <c r="D12" s="6"/>
      <c r="E12" s="50"/>
      <c r="F12" s="37" t="s">
        <v>133</v>
      </c>
      <c r="G12" s="32"/>
    </row>
    <row r="13" customFormat="false" ht="15" hidden="false" customHeight="false" outlineLevel="0" collapsed="false">
      <c r="A13" s="47" t="n">
        <v>9</v>
      </c>
      <c r="B13" s="32"/>
      <c r="C13" s="37"/>
      <c r="D13" s="6"/>
      <c r="E13" s="50"/>
      <c r="F13" s="37"/>
      <c r="G13" s="32"/>
    </row>
    <row r="14" customFormat="false" ht="15" hidden="false" customHeight="false" outlineLevel="0" collapsed="false">
      <c r="A14" s="47" t="n">
        <v>10</v>
      </c>
      <c r="B14" s="32"/>
      <c r="C14" s="37"/>
      <c r="D14" s="6"/>
      <c r="E14" s="50"/>
      <c r="F14" s="37"/>
      <c r="G14" s="32"/>
    </row>
    <row r="15" customFormat="false" ht="15" hidden="false" customHeight="false" outlineLevel="0" collapsed="false">
      <c r="A15" s="47" t="n">
        <v>11</v>
      </c>
      <c r="B15" s="32"/>
      <c r="C15" s="37"/>
      <c r="D15" s="6"/>
      <c r="E15" s="50"/>
      <c r="F15" s="37"/>
      <c r="G15" s="32"/>
    </row>
    <row r="16" customFormat="false" ht="15" hidden="false" customHeight="false" outlineLevel="0" collapsed="false">
      <c r="A16" s="47" t="n">
        <v>12</v>
      </c>
      <c r="B16" s="32"/>
      <c r="C16" s="37"/>
      <c r="D16" s="6"/>
      <c r="E16" s="50"/>
      <c r="F16" s="37"/>
      <c r="G16" s="32"/>
    </row>
  </sheetData>
  <mergeCells count="2">
    <mergeCell ref="A1:G2"/>
    <mergeCell ref="A3:G3"/>
  </mergeCells>
  <conditionalFormatting sqref="F5:F16">
    <cfRule type="cellIs" priority="2" operator="equal" aboveAverage="0" equalAverage="0" bottom="0" percent="0" rank="0" text="" dxfId="2">
      <formula>"Done"</formula>
    </cfRule>
    <cfRule type="cellIs" priority="3" operator="equal" aboveAverage="0" equalAverage="0" bottom="0" percent="0" rank="0" text="" dxfId="3">
      <formula>"In progress"</formula>
    </cfRule>
    <cfRule type="cellIs" priority="4" operator="equal" aboveAverage="0" equalAverage="0" bottom="0" percent="0" rank="0" text="" dxfId="4">
      <formula>"Blocked"</formula>
    </cfRule>
    <cfRule type="cellIs" priority="5" operator="equal" aboveAverage="0" equalAverage="0" bottom="0" percent="0" rank="0" text="" dxfId="5">
      <formula>"Not started"</formula>
    </cfRule>
  </conditionalFormatting>
  <dataValidations count="1">
    <dataValidation allowBlank="true" errorStyle="stop" operator="between" showDropDown="false" showErrorMessage="false" showInputMessage="false" sqref="F5:F16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2026-10-07T11:21:27Z</dcterms:created>
  <dc:creator>openpyxl</dc:creator>
  <dc:description/>
  <dc:language>en-US</dc:language>
  <cp:lastModifiedBy/>
  <dcterms:modified xsi:type="dcterms:W3CDTF">2026-10-07T11:21:29Z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