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shboard" sheetId="2" state="visible" r:id="rId4"/>
    <sheet name="Projects" sheetId="3" state="visible" r:id="rId5"/>
    <sheet name="Metrics" sheetId="4" state="visible" r:id="rId6"/>
    <sheet name="Agentic Repo" sheetId="5" state="visible" r:id="rId7"/>
    <sheet name="Risk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<sst xmlns="http://schemas.openxmlformats.org/spreadsheetml/2006/main" count="195" uniqueCount="160">
  <si>
    <t xml:space="preserve">Account AI Adoption &amp; Agentic Repository - Reporting Workbook</t>
  </si>
  <si>
    <t xml:space="preserve">Template for a 10-project account. Two SAMPLE projects are pre-filled to show the expected format.</t>
  </si>
  <si>
    <t xml:space="preserve">Purpose</t>
  </si>
  <si>
    <t xml:space="preserve">One consistent, evidence-based view of GenAI adoption and the agentic repository across all projects, for senior review.</t>
  </si>
  <si>
    <t xml:space="preserve">SAMPLE DATA</t>
  </si>
  <si>
    <t xml:space="preserve">Projects P01 and P02 contain ILLUSTRATIVE values to show the format. They are not real results. Overwrite them with actuals before any use.</t>
  </si>
  <si>
    <t xml:space="preserve">How to use</t>
  </si>
  <si>
    <t xml:space="preserve">1) Fill Projects. 2) Fill Metrics and Agentic Repo for each project (yellow cells, blue text). 3) Review Dashboard. 4) Update Risks. Dashboard and totals are formulas; do not overwrite them.</t>
  </si>
  <si>
    <t xml:space="preserve">Colour code</t>
  </si>
  <si>
    <t xml:space="preserve">Blue text on yellow = input. Black = formula. Green = link to another sheet.</t>
  </si>
  <si>
    <t xml:space="preserve">Data basis</t>
  </si>
  <si>
    <t xml:space="preserve">Measured = taken from system data (PR history, licence reports). Estimated = team or lead estimate. Survey = developer survey. Never mix; the Dashboard reports the share that is Measured.</t>
  </si>
  <si>
    <t xml:space="preserve">Active user</t>
  </si>
  <si>
    <t xml:space="preserve">A licensed user who used the AI tool at least once in the last 30 days (source: GitHub Copilot usage reports, organisation admin).</t>
  </si>
  <si>
    <t xml:space="preserve">Review rounds</t>
  </si>
  <si>
    <t xml:space="preserve">Average number of 'changes requested' review cycles per merged PR. Source: scripts/python/pr_metrics.py in the agentic repo, or your Git platform export. Use the same period length for baseline and current.</t>
  </si>
  <si>
    <t xml:space="preserve">PR cycle time</t>
  </si>
  <si>
    <t xml:space="preserve">Median hours from PR opened to merged. Same source and period rule.</t>
  </si>
  <si>
    <t xml:space="preserve">AI maturity (0-4)</t>
  </si>
  <si>
    <t xml:space="preserve">0 none | 1 individual experimentation | 2 team practice with shared instructions | 3 embedded in workflow with measured results | 4 governed and continuously improved.</t>
  </si>
  <si>
    <t xml:space="preserve">Caution</t>
  </si>
  <si>
    <t xml:space="preserve">With few projects reporting, do not extrapolate. A change in review rounds can have other causes (team change, release pressure). Report it as an observation, not proof of cause.</t>
  </si>
  <si>
    <t xml:space="preserve">Account dashboard</t>
  </si>
  <si>
    <t xml:space="preserve">All values are formulas. Sample data is included until replaced.</t>
  </si>
  <si>
    <t xml:space="preserve">Indicator</t>
  </si>
  <si>
    <t xml:space="preserve">Value</t>
  </si>
  <si>
    <t xml:space="preserve">How to read it</t>
  </si>
  <si>
    <t xml:space="preserve">Projects in account</t>
  </si>
  <si>
    <t xml:space="preserve">Register size.</t>
  </si>
  <si>
    <t xml:space="preserve">Projects reporting metrics</t>
  </si>
  <si>
    <t xml:space="preserve">Do not generalise from a small number of reporting projects.</t>
  </si>
  <si>
    <t xml:space="preserve">Licensed users (reporting projects)</t>
  </si>
  <si>
    <t xml:space="preserve">Active users, last 30 days</t>
  </si>
  <si>
    <t xml:space="preserve">Adoption (active / licensed)</t>
  </si>
  <si>
    <t xml:space="preserve">Share of licences in real use.</t>
  </si>
  <si>
    <t xml:space="preserve">PRs with AI-assisted review</t>
  </si>
  <si>
    <t xml:space="preserve">Share of merged PRs reviewed with AI assistance.</t>
  </si>
  <si>
    <t xml:space="preserve">Median change in review rounds per PR</t>
  </si>
  <si>
    <t xml:space="preserve">Negative = fewer rounds. Observation, not proof of cause.</t>
  </si>
  <si>
    <t xml:space="preserve">Median change in PR cycle time</t>
  </si>
  <si>
    <t xml:space="preserve">Negative = faster. Same caution.</t>
  </si>
  <si>
    <t xml:space="preserve">Share of reporting projects with Measured data</t>
  </si>
  <si>
    <t xml:space="preserve">Confidence indicator for the figures above.</t>
  </si>
  <si>
    <t xml:space="preserve">Average AI maturity (reported projects)</t>
  </si>
  <si>
    <t xml:space="preserve">Scale 0-4 defined on README.</t>
  </si>
  <si>
    <t xml:space="preserve">Agentic repo: projects Deployed</t>
  </si>
  <si>
    <t xml:space="preserve">Agentic repo: projects in Pilot</t>
  </si>
  <si>
    <t xml:space="preserve">Projects with deterministic gate in CI</t>
  </si>
  <si>
    <t xml:space="preserve">Active (approved) rules, all projects</t>
  </si>
  <si>
    <t xml:space="preserve">Counts may overlap if projects share rules; use a distinct count if the repo is shared.</t>
  </si>
  <si>
    <t xml:space="preserve">Finding acceptance rate</t>
  </si>
  <si>
    <t xml:space="preserve">Findings accepted by humans / raised. Low values mean rules need tuning.</t>
  </si>
  <si>
    <t xml:space="preserve">Note: sample projects P01-P02 are illustrative. Replace before presenting.</t>
  </si>
  <si>
    <t xml:space="preserve">Project register</t>
  </si>
  <si>
    <t xml:space="preserve">One row per project. Rows P01-P02 are SAMPLE data.</t>
  </si>
  <si>
    <t xml:space="preserve">ID</t>
  </si>
  <si>
    <t xml:space="preserve">Project name</t>
  </si>
  <si>
    <t xml:space="preserve">Delivery stage</t>
  </si>
  <si>
    <t xml:space="preserve">Team size</t>
  </si>
  <si>
    <t xml:space="preserve">Primary AI tools</t>
  </si>
  <si>
    <t xml:space="preserve">Agentic repo status</t>
  </si>
  <si>
    <t xml:space="preserve">Data owner</t>
  </si>
  <si>
    <t xml:space="preserve">Notes</t>
  </si>
  <si>
    <t xml:space="preserve">P01</t>
  </si>
  <si>
    <t xml:space="preserve">Project A - Viewer platform (SAMPLE)</t>
  </si>
  <si>
    <t xml:space="preserve">Development</t>
  </si>
  <si>
    <t xml:space="preserve">GitHub Copilot (chat, agent mode, code review)</t>
  </si>
  <si>
    <t xml:space="preserve">Deployed</t>
  </si>
  <si>
    <t xml:space="preserve">Lead architect</t>
  </si>
  <si>
    <t xml:space="preserve">Sample data - replace</t>
  </si>
  <si>
    <t xml:space="preserve">P02</t>
  </si>
  <si>
    <t xml:space="preserve">Project B - Integration services (SAMPLE)</t>
  </si>
  <si>
    <t xml:space="preserve">Maintenance</t>
  </si>
  <si>
    <t xml:space="preserve">GitHub Copilot (chat)</t>
  </si>
  <si>
    <t xml:space="preserve">Pilot</t>
  </si>
  <si>
    <t xml:space="preserve">Delivery manager</t>
  </si>
  <si>
    <t xml:space="preserve">P03</t>
  </si>
  <si>
    <t xml:space="preserve">Not started</t>
  </si>
  <si>
    <t xml:space="preserve">P04</t>
  </si>
  <si>
    <t xml:space="preserve">P05</t>
  </si>
  <si>
    <t xml:space="preserve">P06</t>
  </si>
  <si>
    <t xml:space="preserve">P07</t>
  </si>
  <si>
    <t xml:space="preserve">P08</t>
  </si>
  <si>
    <t xml:space="preserve">P09</t>
  </si>
  <si>
    <t xml:space="preserve">P10</t>
  </si>
  <si>
    <t xml:space="preserve">Adoption and delivery metrics</t>
  </si>
  <si>
    <t xml:space="preserve">Baseline = period before rollout; current = latest period of the same length. Basis column is mandatory.</t>
  </si>
  <si>
    <t xml:space="preserve">Project</t>
  </si>
  <si>
    <t xml:space="preserve">Licensed users</t>
  </si>
  <si>
    <t xml:space="preserve">Active users (30d)</t>
  </si>
  <si>
    <t xml:space="preserve">Adoption % (active / licensed)</t>
  </si>
  <si>
    <t xml:space="preserve">PRs merged in period</t>
  </si>
  <si>
    <t xml:space="preserve">AI review coverage %</t>
  </si>
  <si>
    <t xml:space="preserve">Baseline review rounds / PR</t>
  </si>
  <si>
    <t xml:space="preserve">Current review rounds / PR</t>
  </si>
  <si>
    <t xml:space="preserve">Change in review rounds</t>
  </si>
  <si>
    <t xml:space="preserve">Baseline PR cycle (median h)</t>
  </si>
  <si>
    <t xml:space="preserve">Current PR cycle (median h)</t>
  </si>
  <si>
    <t xml:space="preserve">Change in PR cycle</t>
  </si>
  <si>
    <t xml:space="preserve">Source / notes</t>
  </si>
  <si>
    <t xml:space="preserve">Measured</t>
  </si>
  <si>
    <t xml:space="preserve">SAMPLE: PR export, 90d vs prior 90d</t>
  </si>
  <si>
    <t xml:space="preserve">Estimated</t>
  </si>
  <si>
    <t xml:space="preserve">SAMPLE: lead estimate</t>
  </si>
  <si>
    <t xml:space="preserve">Account total / median</t>
  </si>
  <si>
    <t xml:space="preserve">Negative change = fewer review rounds / shorter cycle. Medians cover reporting projects only. Totals add reporting projects only.</t>
  </si>
  <si>
    <t xml:space="preserve">Agentic repository status</t>
  </si>
  <si>
    <t xml:space="preserve">Tracks rollout of the shared instructions, rules, checks and agents per project. Rows P01-P02 are SAMPLE data.</t>
  </si>
  <si>
    <t xml:space="preserve">Instructions deployed</t>
  </si>
  <si>
    <t xml:space="preserve">Active (approved) rules</t>
  </si>
  <si>
    <t xml:space="preserve">Rules mined from PR comments</t>
  </si>
  <si>
    <t xml:space="preserve">Deterministic gate in CI</t>
  </si>
  <si>
    <t xml:space="preserve">Reviewer agent used</t>
  </si>
  <si>
    <t xml:space="preserve">Critical paths defined</t>
  </si>
  <si>
    <t xml:space="preserve">Findings raised</t>
  </si>
  <si>
    <t xml:space="preserve">Findings accepted</t>
  </si>
  <si>
    <t xml:space="preserve">Acceptance %</t>
  </si>
  <si>
    <t xml:space="preserve">Readiness (0-4)</t>
  </si>
  <si>
    <t xml:space="preserve">Yes</t>
  </si>
  <si>
    <t xml:space="preserve">SAMPLE</t>
  </si>
  <si>
    <t xml:space="preserve">Partial</t>
  </si>
  <si>
    <t xml:space="preserve">No</t>
  </si>
  <si>
    <t xml:space="preserve">Account total</t>
  </si>
  <si>
    <t xml:space="preserve">Readiness = count of: instructions Yes, CI gate Yes, reviewer agent Yes, critical paths defined Yes. Acceptance % = findings a human accepted / findings raised (shadow-mode log).</t>
  </si>
  <si>
    <t xml:space="preserve">Risks and controls</t>
  </si>
  <si>
    <t xml:space="preserve">Starting register; adjust to the account's quality system. Owner and status are inputs.</t>
  </si>
  <si>
    <t xml:space="preserve">#</t>
  </si>
  <si>
    <t xml:space="preserve">Risk</t>
  </si>
  <si>
    <t xml:space="preserve">Why it matters</t>
  </si>
  <si>
    <t xml:space="preserve">Control in place / planned</t>
  </si>
  <si>
    <t xml:space="preserve">Residual risk</t>
  </si>
  <si>
    <t xml:space="preserve">Owner</t>
  </si>
  <si>
    <t xml:space="preserve">Status</t>
  </si>
  <si>
    <t xml:space="preserve">AI review finds wrong or non-existent issues</t>
  </si>
  <si>
    <t xml:space="preserve">Wasted effort; loss of trust</t>
  </si>
  <si>
    <t xml:space="preserve">Findings must cite a rule and quote code; code excerpts are verified against the file; unverified findings are excluded from the score.</t>
  </si>
  <si>
    <t xml:space="preserve">Medium</t>
  </si>
  <si>
    <t xml:space="preserve">Open</t>
  </si>
  <si>
    <t xml:space="preserve">AI misses a real defect</t>
  </si>
  <si>
    <t xml:space="preserve">False assurance</t>
  </si>
  <si>
    <t xml:space="preserve">AI review is advisory; human approval is always required; deterministic checks and existing analysers (e.g. SonarQube) stay in place.</t>
  </si>
  <si>
    <t xml:space="preserve">Patient data exposed to AI tools or logs</t>
  </si>
  <si>
    <t xml:space="preserve">Privacy and regulatory exposure</t>
  </si>
  <si>
    <t xml:space="preserve">Rule bans patient data in code, logs and tests; synthetic data only; AI tool data-handling terms confirmed by security.</t>
  </si>
  <si>
    <t xml:space="preserve">Change in clinical-critical code without enough scrutiny</t>
  </si>
  <si>
    <t xml:space="preserve">Patient-safety impact</t>
  </si>
  <si>
    <t xml:space="preserve">Critical paths flagged automatically; mandatory human architect sign-off and test evidence.</t>
  </si>
  <si>
    <t xml:space="preserve">Low</t>
  </si>
  <si>
    <t xml:space="preserve">Standards drift or become stale</t>
  </si>
  <si>
    <t xml:space="preserve">Inconsistent code, false findings</t>
  </si>
  <si>
    <t xml:space="preserve">Each rule has an owner approval and review-by date; rules from PR comments need architect approval; false-positive tracking.</t>
  </si>
  <si>
    <t xml:space="preserve">Uneven adoption across projects</t>
  </si>
  <si>
    <t xml:space="preserve">Benefits concentrated in a few teams</t>
  </si>
  <si>
    <t xml:space="preserve">Common baseline metrics; maturity levels; shared repo; adoption reviewed per project.</t>
  </si>
  <si>
    <t xml:space="preserve">Misleading metrics</t>
  </si>
  <si>
    <t xml:space="preserve">Wrong decisions</t>
  </si>
  <si>
    <t xml:space="preserve">Measured vs estimated reported separately; same period length for baseline and current; no per-developer statistics.</t>
  </si>
  <si>
    <t xml:space="preserve">AI-assisted changes not traceable in the quality system</t>
  </si>
  <si>
    <t xml:space="preserve">Audit findings</t>
  </si>
  <si>
    <t xml:space="preserve">Align with quality/regulatory function on documentation of AI-assisted development; keep reviews and approvals in PR history.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</si>
</sst>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%"/>
    <numFmt numFmtId="167" formatCode="0.0%;\-0.0%;0.0%"/>
    <numFmt numFmtId="168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2A3C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0B2A3C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2A3C"/>
        <bgColor rgb="FF003300"/>
      </patternFill>
    </fill>
    <fill>
      <patternFill patternType="solid">
        <fgColor rgb="FFFFF8D6"/>
        <bgColor rgb="FFFFFFFF"/>
      </patternFill>
    </fill>
    <fill>
      <patternFill patternType="solid">
        <fgColor rgb="FFEAF1F3"/>
        <bgColor rgb="FFFFF8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BD0"/>
      </left>
      <right style="thin">
        <color rgb="FFBFCBD0"/>
      </right>
      <top style="thin">
        <color rgb="FFBFCBD0"/>
      </top>
      <bottom style="thin">
        <color rgb="FFBFCB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3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78"/>
      <rgbColor rgb="FFBFCBD0"/>
      <rgbColor rgb="FF878787"/>
      <rgbColor rgb="FF9999FF"/>
      <rgbColor rgb="FF993366"/>
      <rgbColor rgb="FFFFF8D6"/>
      <rgbColor rgb="FFEAF1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FB4BC"/>
      <rgbColor rgb="FF0B2A3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Adoption % by project (active / licensed)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Metrics!F4</c:f>
              <c:strCache>
                <c:ptCount val="1"/>
                <c:pt idx="0">
                  <c:v>Adoption % (active / licensed)</c:v>
                </c:pt>
              </c:strCache>
            </c:strRef>
          </c:tx>
          <c:spPr>
            <a:solidFill>
              <a:srgbClr val="1f6f7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Metrics!$A$5:$A$14</c:f>
              <c:strCache>
                <c:ptCount val="10"/>
                <c:pt idx="0">
                  <c:v>P01</c:v>
                </c:pt>
                <c:pt idx="1">
                  <c:v>P02</c:v>
                </c:pt>
                <c:pt idx="2">
                  <c:v>P03</c:v>
                </c:pt>
                <c:pt idx="3">
                  <c:v>P04</c:v>
                </c:pt>
                <c:pt idx="4">
                  <c:v>P05</c:v>
                </c:pt>
                <c:pt idx="5">
                  <c:v>P06</c:v>
                </c:pt>
                <c:pt idx="6">
                  <c:v>P07</c:v>
                </c:pt>
                <c:pt idx="7">
                  <c:v>P08</c:v>
                </c:pt>
                <c:pt idx="8">
                  <c:v>P09</c:v>
                </c:pt>
                <c:pt idx="9">
                  <c:v>P10</c:v>
                </c:pt>
              </c:strCache>
            </c:strRef>
          </c:cat>
          <c:val>
            <c:numRef>
              <c:f>Metrics!$F$5:$F$14</c:f>
              <c:numCache>
                <c:formatCode>0%</c:formatCode>
                <c:ptCount val="10"/>
                <c:pt idx="0">
                  <c:v>0.785714285714286</c:v>
                </c:pt>
                <c:pt idx="1">
                  <c:v>0.555555555555556</c:v>
                </c:pt>
              </c:numCache>
            </c:numRef>
          </c:val>
        </c:ser>
        <c:gapWidth val="150"/>
        <c:overlap val="0"/>
        <c:axId val="82061369"/>
        <c:axId val="66299672"/>
      </c:barChart>
      <c:catAx>
        <c:axId val="820613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299672"/>
        <c:crosses val="autoZero"/>
        <c:auto val="1"/>
        <c:lblAlgn val="ctr"/>
        <c:lblOffset val="100"/>
        <c:noMultiLvlLbl val="0"/>
      </c:catAx>
      <c:valAx>
        <c:axId val="66299672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0613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Review rounds per PR: baseline vs current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Metrics!J4</c:f>
              <c:strCache>
                <c:ptCount val="1"/>
                <c:pt idx="0">
                  <c:v>Baseline review rounds / PR</c:v>
                </c:pt>
              </c:strCache>
            </c:strRef>
          </c:tx>
          <c:spPr>
            <a:solidFill>
              <a:srgbClr val="9fb4b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Metrics!$A$5:$A$14</c:f>
              <c:strCache>
                <c:ptCount val="10"/>
                <c:pt idx="0">
                  <c:v>P01</c:v>
                </c:pt>
                <c:pt idx="1">
                  <c:v>P02</c:v>
                </c:pt>
                <c:pt idx="2">
                  <c:v>P03</c:v>
                </c:pt>
                <c:pt idx="3">
                  <c:v>P04</c:v>
                </c:pt>
                <c:pt idx="4">
                  <c:v>P05</c:v>
                </c:pt>
                <c:pt idx="5">
                  <c:v>P06</c:v>
                </c:pt>
                <c:pt idx="6">
                  <c:v>P07</c:v>
                </c:pt>
                <c:pt idx="7">
                  <c:v>P08</c:v>
                </c:pt>
                <c:pt idx="8">
                  <c:v>P09</c:v>
                </c:pt>
                <c:pt idx="9">
                  <c:v>P10</c:v>
                </c:pt>
              </c:strCache>
            </c:strRef>
          </c:cat>
          <c:val>
            <c:numRef>
              <c:f>Metrics!$J$5:$J$14</c:f>
              <c:numCache>
                <c:formatCode>0.0</c:formatCode>
                <c:ptCount val="10"/>
                <c:pt idx="0">
                  <c:v>2.4</c:v>
                </c:pt>
                <c:pt idx="1">
                  <c:v>2.1</c:v>
                </c:pt>
              </c:numCache>
            </c:numRef>
          </c:val>
        </c:ser>
        <c:ser>
          <c:idx val="1"/>
          <c:order val="1"/>
          <c:tx>
            <c:strRef>
              <c:f>Metrics!K4</c:f>
              <c:strCache>
                <c:ptCount val="1"/>
                <c:pt idx="0">
                  <c:v>Current review rounds / PR</c:v>
                </c:pt>
              </c:strCache>
            </c:strRef>
          </c:tx>
          <c:spPr>
            <a:solidFill>
              <a:srgbClr val="1f6f7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Metrics!$A$5:$A$14</c:f>
              <c:strCache>
                <c:ptCount val="10"/>
                <c:pt idx="0">
                  <c:v>P01</c:v>
                </c:pt>
                <c:pt idx="1">
                  <c:v>P02</c:v>
                </c:pt>
                <c:pt idx="2">
                  <c:v>P03</c:v>
                </c:pt>
                <c:pt idx="3">
                  <c:v>P04</c:v>
                </c:pt>
                <c:pt idx="4">
                  <c:v>P05</c:v>
                </c:pt>
                <c:pt idx="5">
                  <c:v>P06</c:v>
                </c:pt>
                <c:pt idx="6">
                  <c:v>P07</c:v>
                </c:pt>
                <c:pt idx="7">
                  <c:v>P08</c:v>
                </c:pt>
                <c:pt idx="8">
                  <c:v>P09</c:v>
                </c:pt>
                <c:pt idx="9">
                  <c:v>P10</c:v>
                </c:pt>
              </c:strCache>
            </c:strRef>
          </c:cat>
          <c:val>
            <c:numRef>
              <c:f>Metrics!$K$5:$K$14</c:f>
              <c:numCache>
                <c:formatCode>0.0</c:formatCode>
                <c:ptCount val="10"/>
                <c:pt idx="0">
                  <c:v>2</c:v>
                </c:pt>
                <c:pt idx="1">
                  <c:v>1.9</c:v>
                </c:pt>
              </c:numCache>
            </c:numRef>
          </c:val>
        </c:ser>
        <c:gapWidth val="150"/>
        <c:overlap val="0"/>
        <c:axId val="49861487"/>
        <c:axId val="29572322"/>
      </c:barChart>
      <c:catAx>
        <c:axId val="49861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572322"/>
        <c:crosses val="autoZero"/>
        <c:auto val="1"/>
        <c:lblAlgn val="ctr"/>
        <c:lblOffset val="100"/>
        <c:noMultiLvlLbl val="0"/>
      </c:catAx>
      <c:valAx>
        <c:axId val="295723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8614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131040</xdr:rowOff>
    </xdr:from>
    <xdr:to>
      <xdr:col>12</xdr:col>
      <xdr:colOff>507600</xdr:colOff>
      <xdr:row>14</xdr:row>
      <xdr:rowOff>182520</xdr:rowOff>
    </xdr:to>
    <xdr:graphicFrame>
      <xdr:nvGraphicFramePr>
        <xdr:cNvPr id="0" name="Chart 1"/>
        <xdr:cNvGraphicFramePr/>
      </xdr:nvGraphicFramePr>
      <xdr:xfrm>
        <a:off x="9774720" y="571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18</xdr:row>
      <xdr:rowOff>131040</xdr:rowOff>
    </xdr:from>
    <xdr:to>
      <xdr:col>12</xdr:col>
      <xdr:colOff>507600</xdr:colOff>
      <xdr:row>32</xdr:row>
      <xdr:rowOff>163440</xdr:rowOff>
    </xdr:to>
    <xdr:graphicFrame>
      <xdr:nvGraphicFramePr>
        <xdr:cNvPr id="1" name="Chart 2"/>
        <xdr:cNvGraphicFramePr/>
      </xdr:nvGraphicFramePr>
      <xdr:xfrm>
        <a:off x="9774720" y="39816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3.5" hidden="false" customHeight="true" outlineLevel="0" collapsed="false">
      <c r="A4" s="3" t="s">
        <v>2</v>
      </c>
      <c r="B4" s="4" t="s">
        <v>3</v>
      </c>
    </row>
    <row r="5" customFormat="false" ht="43.5" hidden="false" customHeight="true" outlineLevel="0" collapsed="false">
      <c r="A5" s="5" t="s">
        <v>4</v>
      </c>
      <c r="B5" s="6" t="s">
        <v>5</v>
      </c>
    </row>
    <row r="6" customFormat="false" ht="43.5" hidden="false" customHeight="true" outlineLevel="0" collapsed="false">
      <c r="A6" s="3" t="s">
        <v>6</v>
      </c>
      <c r="B6" s="4" t="s">
        <v>7</v>
      </c>
    </row>
    <row r="7" customFormat="false" ht="43.5" hidden="false" customHeight="true" outlineLevel="0" collapsed="false">
      <c r="A7" s="3" t="s">
        <v>8</v>
      </c>
      <c r="B7" s="4" t="s">
        <v>9</v>
      </c>
    </row>
    <row r="8" customFormat="false" ht="43.5" hidden="false" customHeight="true" outlineLevel="0" collapsed="false">
      <c r="A8" s="3" t="s">
        <v>10</v>
      </c>
      <c r="B8" s="4" t="s">
        <v>11</v>
      </c>
    </row>
    <row r="9" customFormat="false" ht="43.5" hidden="false" customHeight="true" outlineLevel="0" collapsed="false">
      <c r="A9" s="3" t="s">
        <v>12</v>
      </c>
      <c r="B9" s="4" t="s">
        <v>13</v>
      </c>
    </row>
    <row r="10" customFormat="false" ht="43.5" hidden="false" customHeight="true" outlineLevel="0" collapsed="false">
      <c r="A10" s="3" t="s">
        <v>14</v>
      </c>
      <c r="B10" s="4" t="s">
        <v>15</v>
      </c>
    </row>
    <row r="11" customFormat="false" ht="43.5" hidden="false" customHeight="true" outlineLevel="0" collapsed="false">
      <c r="A11" s="3" t="s">
        <v>16</v>
      </c>
      <c r="B11" s="4" t="s">
        <v>17</v>
      </c>
    </row>
    <row r="12" customFormat="false" ht="43.5" hidden="false" customHeight="true" outlineLevel="0" collapsed="false">
      <c r="A12" s="3" t="s">
        <v>18</v>
      </c>
      <c r="B12" s="4" t="s">
        <v>19</v>
      </c>
    </row>
    <row r="13" customFormat="false" ht="43.5" hidden="false" customHeight="true" outlineLevel="0" collapsed="false">
      <c r="A13" s="3" t="s">
        <v>20</v>
      </c>
      <c r="B13" s="4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9.7" hidden="false" customHeight="false" outlineLevel="0" collapsed="false">
      <c r="A1" s="1" t="s">
        <v>22</v>
      </c>
    </row>
    <row r="2" customFormat="false" ht="15" hidden="false" customHeight="false" outlineLevel="0" collapsed="false">
      <c r="A2" s="2" t="s">
        <v>23</v>
      </c>
    </row>
    <row r="4" customFormat="false" ht="43.5" hidden="false" customHeight="true" outlineLevel="0" collapsed="false">
      <c r="A4" s="7" t="s">
        <v>24</v>
      </c>
      <c r="B4" s="7" t="s">
        <v>25</v>
      </c>
      <c r="C4" s="7" t="s">
        <v>26</v>
      </c>
    </row>
    <row r="5" customFormat="false" ht="15" hidden="false" customHeight="false" outlineLevel="0" collapsed="false">
      <c r="A5" s="8" t="s">
        <v>27</v>
      </c>
      <c r="B5" s="9" t="n">
        <f aca="false">ROWS(Projects!A5:A14)</f>
        <v>10</v>
      </c>
      <c r="C5" s="10" t="s">
        <v>28</v>
      </c>
    </row>
    <row r="6" customFormat="false" ht="15" hidden="false" customHeight="false" outlineLevel="0" collapsed="false">
      <c r="A6" s="8" t="s">
        <v>29</v>
      </c>
      <c r="B6" s="9" t="n">
        <f aca="false">COUNT(Metrics!D5:D14)</f>
        <v>2</v>
      </c>
      <c r="C6" s="10" t="s">
        <v>30</v>
      </c>
    </row>
    <row r="7" customFormat="false" ht="15" hidden="false" customHeight="false" outlineLevel="0" collapsed="false">
      <c r="A7" s="8" t="s">
        <v>31</v>
      </c>
      <c r="B7" s="9" t="n">
        <f aca="false">Metrics!D15</f>
        <v>23</v>
      </c>
      <c r="C7" s="10"/>
    </row>
    <row r="8" customFormat="false" ht="15" hidden="false" customHeight="false" outlineLevel="0" collapsed="false">
      <c r="A8" s="8" t="s">
        <v>32</v>
      </c>
      <c r="B8" s="9" t="n">
        <f aca="false">Metrics!E15</f>
        <v>16</v>
      </c>
      <c r="C8" s="10"/>
    </row>
    <row r="9" customFormat="false" ht="15" hidden="false" customHeight="false" outlineLevel="0" collapsed="false">
      <c r="A9" s="8" t="s">
        <v>33</v>
      </c>
      <c r="B9" s="11" t="n">
        <f aca="false">Metrics!F15</f>
        <v>0.695652173913044</v>
      </c>
      <c r="C9" s="10" t="s">
        <v>34</v>
      </c>
    </row>
    <row r="10" customFormat="false" ht="15" hidden="false" customHeight="false" outlineLevel="0" collapsed="false">
      <c r="A10" s="8" t="s">
        <v>35</v>
      </c>
      <c r="B10" s="11" t="n">
        <f aca="false">Metrics!I15</f>
        <v>0.326315789473684</v>
      </c>
      <c r="C10" s="10" t="s">
        <v>36</v>
      </c>
    </row>
    <row r="11" customFormat="false" ht="15" hidden="false" customHeight="false" outlineLevel="0" collapsed="false">
      <c r="A11" s="8" t="s">
        <v>37</v>
      </c>
      <c r="B11" s="12" t="n">
        <f aca="false">Metrics!L15</f>
        <v>-0.130952380952381</v>
      </c>
      <c r="C11" s="10" t="s">
        <v>38</v>
      </c>
    </row>
    <row r="12" customFormat="false" ht="15" hidden="false" customHeight="false" outlineLevel="0" collapsed="false">
      <c r="A12" s="8" t="s">
        <v>39</v>
      </c>
      <c r="B12" s="12" t="n">
        <f aca="false">Metrics!O15</f>
        <v>-0.120401337792642</v>
      </c>
      <c r="C12" s="10" t="s">
        <v>40</v>
      </c>
    </row>
    <row r="13" customFormat="false" ht="15" hidden="false" customHeight="false" outlineLevel="0" collapsed="false">
      <c r="A13" s="8" t="s">
        <v>41</v>
      </c>
      <c r="B13" s="11" t="n">
        <f aca="false">IFERROR(COUNTIF(Metrics!P5:P14,"Measured")/COUNT(Metrics!D5:D14),"")</f>
        <v>0.5</v>
      </c>
      <c r="C13" s="10" t="s">
        <v>42</v>
      </c>
    </row>
    <row r="14" customFormat="false" ht="15" hidden="false" customHeight="false" outlineLevel="0" collapsed="false">
      <c r="A14" s="8" t="s">
        <v>43</v>
      </c>
      <c r="B14" s="13" t="n">
        <f aca="false">IFERROR(AVERAGE(Projects!F5:F14),"")</f>
        <v>2.5</v>
      </c>
      <c r="C14" s="10" t="s">
        <v>44</v>
      </c>
    </row>
    <row r="15" customFormat="false" ht="15" hidden="false" customHeight="false" outlineLevel="0" collapsed="false">
      <c r="A15" s="8" t="s">
        <v>45</v>
      </c>
      <c r="B15" s="9" t="n">
        <f aca="false">COUNTIF(Projects!G5:G14,"Deployed")</f>
        <v>1</v>
      </c>
      <c r="C15" s="10"/>
    </row>
    <row r="16" customFormat="false" ht="15" hidden="false" customHeight="false" outlineLevel="0" collapsed="false">
      <c r="A16" s="8" t="s">
        <v>46</v>
      </c>
      <c r="B16" s="9" t="n">
        <f aca="false">COUNTIF(Projects!G5:G14,"Pilot")</f>
        <v>1</v>
      </c>
      <c r="C16" s="10"/>
    </row>
    <row r="17" customFormat="false" ht="15" hidden="false" customHeight="false" outlineLevel="0" collapsed="false">
      <c r="A17" s="8" t="s">
        <v>47</v>
      </c>
      <c r="B17" s="9" t="n">
        <f aca="false">COUNTIF('Agentic Repo'!F5:F14,"Yes")</f>
        <v>1</v>
      </c>
      <c r="C17" s="10"/>
    </row>
    <row r="18" customFormat="false" ht="15" hidden="false" customHeight="false" outlineLevel="0" collapsed="false">
      <c r="A18" s="8" t="s">
        <v>48</v>
      </c>
      <c r="B18" s="9" t="n">
        <f aca="false">'Agentic Repo'!D15</f>
        <v>12</v>
      </c>
      <c r="C18" s="10" t="s">
        <v>49</v>
      </c>
    </row>
    <row r="19" customFormat="false" ht="15" hidden="false" customHeight="false" outlineLevel="0" collapsed="false">
      <c r="A19" s="8" t="s">
        <v>50</v>
      </c>
      <c r="B19" s="11" t="n">
        <f aca="false">'Agentic Repo'!K15</f>
        <v>0.641025641025641</v>
      </c>
      <c r="C19" s="10" t="s">
        <v>51</v>
      </c>
    </row>
    <row r="21" customFormat="false" ht="15" hidden="false" customHeight="false" outlineLevel="0" collapsed="false">
      <c r="A21" s="5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30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40"/>
  </cols>
  <sheetData>
    <row r="1" customFormat="false" ht="19.7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43.5" hidden="false" customHeight="true" outlineLevel="0" collapsed="false">
      <c r="A4" s="7" t="s">
        <v>55</v>
      </c>
      <c r="B4" s="7" t="s">
        <v>56</v>
      </c>
      <c r="C4" s="7" t="s">
        <v>57</v>
      </c>
      <c r="D4" s="7" t="s">
        <v>58</v>
      </c>
      <c r="E4" s="7" t="s">
        <v>59</v>
      </c>
      <c r="F4" s="7" t="s">
        <v>18</v>
      </c>
      <c r="G4" s="7" t="s">
        <v>60</v>
      </c>
      <c r="H4" s="7" t="s">
        <v>61</v>
      </c>
      <c r="I4" s="7" t="s">
        <v>62</v>
      </c>
    </row>
    <row r="5" customFormat="false" ht="23.85" hidden="false" customHeight="false" outlineLevel="0" collapsed="false">
      <c r="A5" s="10" t="s">
        <v>63</v>
      </c>
      <c r="B5" s="14" t="s">
        <v>64</v>
      </c>
      <c r="C5" s="14" t="s">
        <v>65</v>
      </c>
      <c r="D5" s="14" t="n">
        <v>14</v>
      </c>
      <c r="E5" s="14" t="s">
        <v>66</v>
      </c>
      <c r="F5" s="14" t="n">
        <v>3</v>
      </c>
      <c r="G5" s="14" t="s">
        <v>67</v>
      </c>
      <c r="H5" s="14" t="s">
        <v>68</v>
      </c>
      <c r="I5" s="14" t="s">
        <v>69</v>
      </c>
    </row>
    <row r="6" customFormat="false" ht="23.85" hidden="false" customHeight="false" outlineLevel="0" collapsed="false">
      <c r="A6" s="10" t="s">
        <v>70</v>
      </c>
      <c r="B6" s="14" t="s">
        <v>71</v>
      </c>
      <c r="C6" s="14" t="s">
        <v>72</v>
      </c>
      <c r="D6" s="14" t="n">
        <v>9</v>
      </c>
      <c r="E6" s="14" t="s">
        <v>73</v>
      </c>
      <c r="F6" s="14" t="n">
        <v>2</v>
      </c>
      <c r="G6" s="14" t="s">
        <v>74</v>
      </c>
      <c r="H6" s="14" t="s">
        <v>75</v>
      </c>
      <c r="I6" s="14" t="s">
        <v>69</v>
      </c>
    </row>
    <row r="7" customFormat="false" ht="15" hidden="false" customHeight="false" outlineLevel="0" collapsed="false">
      <c r="A7" s="10" t="s">
        <v>76</v>
      </c>
      <c r="B7" s="14"/>
      <c r="C7" s="14"/>
      <c r="D7" s="14"/>
      <c r="E7" s="14"/>
      <c r="F7" s="14"/>
      <c r="G7" s="14" t="s">
        <v>77</v>
      </c>
      <c r="H7" s="14"/>
      <c r="I7" s="14"/>
    </row>
    <row r="8" customFormat="false" ht="15" hidden="false" customHeight="false" outlineLevel="0" collapsed="false">
      <c r="A8" s="10" t="s">
        <v>78</v>
      </c>
      <c r="B8" s="14"/>
      <c r="C8" s="14"/>
      <c r="D8" s="14"/>
      <c r="E8" s="14"/>
      <c r="F8" s="14"/>
      <c r="G8" s="14" t="s">
        <v>77</v>
      </c>
      <c r="H8" s="14"/>
      <c r="I8" s="14"/>
    </row>
    <row r="9" customFormat="false" ht="15" hidden="false" customHeight="false" outlineLevel="0" collapsed="false">
      <c r="A9" s="10" t="s">
        <v>79</v>
      </c>
      <c r="B9" s="14"/>
      <c r="C9" s="14"/>
      <c r="D9" s="14"/>
      <c r="E9" s="14"/>
      <c r="F9" s="14"/>
      <c r="G9" s="14" t="s">
        <v>77</v>
      </c>
      <c r="H9" s="14"/>
      <c r="I9" s="14"/>
    </row>
    <row r="10" customFormat="false" ht="15" hidden="false" customHeight="false" outlineLevel="0" collapsed="false">
      <c r="A10" s="10" t="s">
        <v>80</v>
      </c>
      <c r="B10" s="14"/>
      <c r="C10" s="14"/>
      <c r="D10" s="14"/>
      <c r="E10" s="14"/>
      <c r="F10" s="14"/>
      <c r="G10" s="14" t="s">
        <v>77</v>
      </c>
      <c r="H10" s="14"/>
      <c r="I10" s="14"/>
    </row>
    <row r="11" customFormat="false" ht="15" hidden="false" customHeight="false" outlineLevel="0" collapsed="false">
      <c r="A11" s="10" t="s">
        <v>81</v>
      </c>
      <c r="B11" s="14"/>
      <c r="C11" s="14"/>
      <c r="D11" s="14"/>
      <c r="E11" s="14"/>
      <c r="F11" s="14"/>
      <c r="G11" s="14" t="s">
        <v>77</v>
      </c>
      <c r="H11" s="14"/>
      <c r="I11" s="14"/>
    </row>
    <row r="12" customFormat="false" ht="15" hidden="false" customHeight="false" outlineLevel="0" collapsed="false">
      <c r="A12" s="10" t="s">
        <v>82</v>
      </c>
      <c r="B12" s="14"/>
      <c r="C12" s="14"/>
      <c r="D12" s="14"/>
      <c r="E12" s="14"/>
      <c r="F12" s="14"/>
      <c r="G12" s="14" t="s">
        <v>77</v>
      </c>
      <c r="H12" s="14"/>
      <c r="I12" s="14"/>
    </row>
    <row r="13" customFormat="false" ht="15" hidden="false" customHeight="false" outlineLevel="0" collapsed="false">
      <c r="A13" s="10" t="s">
        <v>83</v>
      </c>
      <c r="B13" s="14"/>
      <c r="C13" s="14"/>
      <c r="D13" s="14"/>
      <c r="E13" s="14"/>
      <c r="F13" s="14"/>
      <c r="G13" s="14" t="s">
        <v>77</v>
      </c>
      <c r="H13" s="14"/>
      <c r="I13" s="14"/>
    </row>
    <row r="14" customFormat="false" ht="15" hidden="false" customHeight="false" outlineLevel="0" collapsed="false">
      <c r="A14" s="10" t="s">
        <v>84</v>
      </c>
      <c r="B14" s="14"/>
      <c r="C14" s="14"/>
      <c r="D14" s="14"/>
      <c r="E14" s="14"/>
      <c r="F14" s="14"/>
      <c r="G14" s="14" t="s">
        <v>77</v>
      </c>
      <c r="H14" s="14"/>
      <c r="I14" s="14"/>
    </row>
  </sheetData>
  <dataValidations count="3">
    <dataValidation allowBlank="true" errorStyle="stop" operator="between" showDropDown="false" showErrorMessage="false" showInputMessage="false" sqref="C5:C14" type="list">
      <formula1>"Planning,Development,Maintenance"</formula1>
      <formula2>0</formula2>
    </dataValidation>
    <dataValidation allowBlank="true" errorStyle="stop" operator="between" showDropDown="false" showErrorMessage="false" showInputMessage="false" sqref="F5:F14" type="list">
      <formula1>"0,1,2,3,4"</formula1>
      <formula2>0</formula2>
    </dataValidation>
    <dataValidation allowBlank="true" errorStyle="stop" operator="between" showDropDown="false" showErrorMessage="false" showInputMessage="false" sqref="G5:G14" type="list">
      <formula1>"Not started,Pilot,Deployed"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2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15" min="9" style="0" width="12"/>
    <col collapsed="false" customWidth="true" hidden="false" outlineLevel="0" max="16" min="16" style="0" width="13"/>
    <col collapsed="false" customWidth="true" hidden="false" outlineLevel="0" max="17" min="17" style="0" width="36"/>
  </cols>
  <sheetData>
    <row r="1" customFormat="false" ht="19.7" hidden="false" customHeight="false" outlineLevel="0" collapsed="false">
      <c r="A1" s="1" t="s">
        <v>85</v>
      </c>
    </row>
    <row r="2" customFormat="false" ht="15" hidden="false" customHeight="false" outlineLevel="0" collapsed="false">
      <c r="A2" s="2" t="s">
        <v>86</v>
      </c>
    </row>
    <row r="4" customFormat="false" ht="43.5" hidden="false" customHeight="true" outlineLevel="0" collapsed="false">
      <c r="A4" s="7" t="s">
        <v>55</v>
      </c>
      <c r="B4" s="7" t="s">
        <v>87</v>
      </c>
      <c r="C4" s="7" t="s">
        <v>58</v>
      </c>
      <c r="D4" s="7" t="s">
        <v>88</v>
      </c>
      <c r="E4" s="7" t="s">
        <v>89</v>
      </c>
      <c r="F4" s="7" t="s">
        <v>90</v>
      </c>
      <c r="G4" s="7" t="s">
        <v>91</v>
      </c>
      <c r="H4" s="7" t="s">
        <v>35</v>
      </c>
      <c r="I4" s="7" t="s">
        <v>92</v>
      </c>
      <c r="J4" s="7" t="s">
        <v>93</v>
      </c>
      <c r="K4" s="7" t="s">
        <v>94</v>
      </c>
      <c r="L4" s="7" t="s">
        <v>95</v>
      </c>
      <c r="M4" s="7" t="s">
        <v>96</v>
      </c>
      <c r="N4" s="7" t="s">
        <v>97</v>
      </c>
      <c r="O4" s="7" t="s">
        <v>98</v>
      </c>
      <c r="P4" s="7" t="s">
        <v>10</v>
      </c>
      <c r="Q4" s="7" t="s">
        <v>99</v>
      </c>
    </row>
    <row r="5" customFormat="false" ht="15" hidden="false" customHeight="false" outlineLevel="0" collapsed="false">
      <c r="A5" s="15" t="str">
        <f aca="false">Projects!A5</f>
        <v>P01</v>
      </c>
      <c r="B5" s="15" t="str">
        <f aca="false">IF(Projects!B5="","",Projects!B5)</f>
        <v>Project A - Viewer platform (SAMPLE)</v>
      </c>
      <c r="C5" s="15" t="n">
        <f aca="false">IF(Projects!D5="","",Projects!D5)</f>
        <v>14</v>
      </c>
      <c r="D5" s="16" t="n">
        <v>14</v>
      </c>
      <c r="E5" s="16" t="n">
        <v>11</v>
      </c>
      <c r="F5" s="17" t="n">
        <f aca="false">IF(N(D5)&gt;0,E5/D5,"")</f>
        <v>0.785714285714286</v>
      </c>
      <c r="G5" s="16" t="n">
        <v>120</v>
      </c>
      <c r="H5" s="16" t="n">
        <v>48</v>
      </c>
      <c r="I5" s="17" t="n">
        <f aca="false">IF(N(G5)&gt;0,H5/G5,"")</f>
        <v>0.4</v>
      </c>
      <c r="J5" s="18" t="n">
        <v>2.4</v>
      </c>
      <c r="K5" s="18" t="n">
        <v>2</v>
      </c>
      <c r="L5" s="19" t="n">
        <f aca="false">IF(AND(N(J5)&gt;0,ISNUMBER(K5)),(K5-J5)/J5,"")</f>
        <v>-0.166666666666667</v>
      </c>
      <c r="M5" s="18" t="n">
        <v>52</v>
      </c>
      <c r="N5" s="18" t="n">
        <v>44</v>
      </c>
      <c r="O5" s="19" t="n">
        <f aca="false">IF(AND(N(M5)&gt;0,ISNUMBER(N5)),(N5-M5)/M5,"")</f>
        <v>-0.153846153846154</v>
      </c>
      <c r="P5" s="16" t="s">
        <v>100</v>
      </c>
      <c r="Q5" s="14" t="s">
        <v>101</v>
      </c>
    </row>
    <row r="6" customFormat="false" ht="15" hidden="false" customHeight="false" outlineLevel="0" collapsed="false">
      <c r="A6" s="15" t="str">
        <f aca="false">Projects!A6</f>
        <v>P02</v>
      </c>
      <c r="B6" s="15" t="str">
        <f aca="false">IF(Projects!B6="","",Projects!B6)</f>
        <v>Project B - Integration services (SAMPLE)</v>
      </c>
      <c r="C6" s="15" t="n">
        <f aca="false">IF(Projects!D6="","",Projects!D6)</f>
        <v>9</v>
      </c>
      <c r="D6" s="16" t="n">
        <v>9</v>
      </c>
      <c r="E6" s="16" t="n">
        <v>5</v>
      </c>
      <c r="F6" s="17" t="n">
        <f aca="false">IF(N(D6)&gt;0,E6/D6,"")</f>
        <v>0.555555555555556</v>
      </c>
      <c r="G6" s="16" t="n">
        <v>70</v>
      </c>
      <c r="H6" s="16" t="n">
        <v>14</v>
      </c>
      <c r="I6" s="17" t="n">
        <f aca="false">IF(N(G6)&gt;0,H6/G6,"")</f>
        <v>0.2</v>
      </c>
      <c r="J6" s="18" t="n">
        <v>2.1</v>
      </c>
      <c r="K6" s="18" t="n">
        <v>1.9</v>
      </c>
      <c r="L6" s="19" t="n">
        <f aca="false">IF(AND(N(J6)&gt;0,ISNUMBER(K6)),(K6-J6)/J6,"")</f>
        <v>-0.0952380952380953</v>
      </c>
      <c r="M6" s="18" t="n">
        <v>46</v>
      </c>
      <c r="N6" s="18" t="n">
        <v>42</v>
      </c>
      <c r="O6" s="19" t="n">
        <f aca="false">IF(AND(N(M6)&gt;0,ISNUMBER(N6)),(N6-M6)/M6,"")</f>
        <v>-0.0869565217391304</v>
      </c>
      <c r="P6" s="16" t="s">
        <v>102</v>
      </c>
      <c r="Q6" s="14" t="s">
        <v>103</v>
      </c>
    </row>
    <row r="7" customFormat="false" ht="15" hidden="false" customHeight="false" outlineLevel="0" collapsed="false">
      <c r="A7" s="15" t="str">
        <f aca="false">Projects!A7</f>
        <v>P03</v>
      </c>
      <c r="B7" s="15" t="str">
        <f aca="false">IF(Projects!B7="","",Projects!B7)</f>
        <v/>
      </c>
      <c r="C7" s="15" t="str">
        <f aca="false">IF(Projects!D7="","",Projects!D7)</f>
        <v/>
      </c>
      <c r="D7" s="16"/>
      <c r="E7" s="16"/>
      <c r="F7" s="17" t="str">
        <f aca="false">IF(N(D7)&gt;0,E7/D7,"")</f>
        <v/>
      </c>
      <c r="G7" s="16"/>
      <c r="H7" s="16"/>
      <c r="I7" s="17" t="str">
        <f aca="false">IF(N(G7)&gt;0,H7/G7,"")</f>
        <v/>
      </c>
      <c r="J7" s="18"/>
      <c r="K7" s="18"/>
      <c r="L7" s="19" t="str">
        <f aca="false">IF(AND(N(J7)&gt;0,ISNUMBER(K7)),(K7-J7)/J7,"")</f>
        <v/>
      </c>
      <c r="M7" s="18"/>
      <c r="N7" s="18"/>
      <c r="O7" s="19" t="str">
        <f aca="false">IF(AND(N(M7)&gt;0,ISNUMBER(N7)),(N7-M7)/M7,"")</f>
        <v/>
      </c>
      <c r="P7" s="16"/>
      <c r="Q7" s="14"/>
    </row>
    <row r="8" customFormat="false" ht="15" hidden="false" customHeight="false" outlineLevel="0" collapsed="false">
      <c r="A8" s="15" t="str">
        <f aca="false">Projects!A8</f>
        <v>P04</v>
      </c>
      <c r="B8" s="15" t="str">
        <f aca="false">IF(Projects!B8="","",Projects!B8)</f>
        <v/>
      </c>
      <c r="C8" s="15" t="str">
        <f aca="false">IF(Projects!D8="","",Projects!D8)</f>
        <v/>
      </c>
      <c r="D8" s="16"/>
      <c r="E8" s="16"/>
      <c r="F8" s="17" t="str">
        <f aca="false">IF(N(D8)&gt;0,E8/D8,"")</f>
        <v/>
      </c>
      <c r="G8" s="16"/>
      <c r="H8" s="16"/>
      <c r="I8" s="17" t="str">
        <f aca="false">IF(N(G8)&gt;0,H8/G8,"")</f>
        <v/>
      </c>
      <c r="J8" s="18"/>
      <c r="K8" s="18"/>
      <c r="L8" s="19" t="str">
        <f aca="false">IF(AND(N(J8)&gt;0,ISNUMBER(K8)),(K8-J8)/J8,"")</f>
        <v/>
      </c>
      <c r="M8" s="18"/>
      <c r="N8" s="18"/>
      <c r="O8" s="19" t="str">
        <f aca="false">IF(AND(N(M8)&gt;0,ISNUMBER(N8)),(N8-M8)/M8,"")</f>
        <v/>
      </c>
      <c r="P8" s="16"/>
      <c r="Q8" s="14"/>
    </row>
    <row r="9" customFormat="false" ht="15" hidden="false" customHeight="false" outlineLevel="0" collapsed="false">
      <c r="A9" s="15" t="str">
        <f aca="false">Projects!A9</f>
        <v>P05</v>
      </c>
      <c r="B9" s="15" t="str">
        <f aca="false">IF(Projects!B9="","",Projects!B9)</f>
        <v/>
      </c>
      <c r="C9" s="15" t="str">
        <f aca="false">IF(Projects!D9="","",Projects!D9)</f>
        <v/>
      </c>
      <c r="D9" s="16"/>
      <c r="E9" s="16"/>
      <c r="F9" s="17" t="str">
        <f aca="false">IF(N(D9)&gt;0,E9/D9,"")</f>
        <v/>
      </c>
      <c r="G9" s="16"/>
      <c r="H9" s="16"/>
      <c r="I9" s="17" t="str">
        <f aca="false">IF(N(G9)&gt;0,H9/G9,"")</f>
        <v/>
      </c>
      <c r="J9" s="18"/>
      <c r="K9" s="18"/>
      <c r="L9" s="19" t="str">
        <f aca="false">IF(AND(N(J9)&gt;0,ISNUMBER(K9)),(K9-J9)/J9,"")</f>
        <v/>
      </c>
      <c r="M9" s="18"/>
      <c r="N9" s="18"/>
      <c r="O9" s="19" t="str">
        <f aca="false">IF(AND(N(M9)&gt;0,ISNUMBER(N9)),(N9-M9)/M9,"")</f>
        <v/>
      </c>
      <c r="P9" s="16"/>
      <c r="Q9" s="14"/>
    </row>
    <row r="10" customFormat="false" ht="15" hidden="false" customHeight="false" outlineLevel="0" collapsed="false">
      <c r="A10" s="15" t="str">
        <f aca="false">Projects!A10</f>
        <v>P06</v>
      </c>
      <c r="B10" s="15" t="str">
        <f aca="false">IF(Projects!B10="","",Projects!B10)</f>
        <v/>
      </c>
      <c r="C10" s="15" t="str">
        <f aca="false">IF(Projects!D10="","",Projects!D10)</f>
        <v/>
      </c>
      <c r="D10" s="16"/>
      <c r="E10" s="16"/>
      <c r="F10" s="17" t="str">
        <f aca="false">IF(N(D10)&gt;0,E10/D10,"")</f>
        <v/>
      </c>
      <c r="G10" s="16"/>
      <c r="H10" s="16"/>
      <c r="I10" s="17" t="str">
        <f aca="false">IF(N(G10)&gt;0,H10/G10,"")</f>
        <v/>
      </c>
      <c r="J10" s="18"/>
      <c r="K10" s="18"/>
      <c r="L10" s="19" t="str">
        <f aca="false">IF(AND(N(J10)&gt;0,ISNUMBER(K10)),(K10-J10)/J10,"")</f>
        <v/>
      </c>
      <c r="M10" s="18"/>
      <c r="N10" s="18"/>
      <c r="O10" s="19" t="str">
        <f aca="false">IF(AND(N(M10)&gt;0,ISNUMBER(N10)),(N10-M10)/M10,"")</f>
        <v/>
      </c>
      <c r="P10" s="16"/>
      <c r="Q10" s="14"/>
    </row>
    <row r="11" customFormat="false" ht="15" hidden="false" customHeight="false" outlineLevel="0" collapsed="false">
      <c r="A11" s="15" t="str">
        <f aca="false">Projects!A11</f>
        <v>P07</v>
      </c>
      <c r="B11" s="15" t="str">
        <f aca="false">IF(Projects!B11="","",Projects!B11)</f>
        <v/>
      </c>
      <c r="C11" s="15" t="str">
        <f aca="false">IF(Projects!D11="","",Projects!D11)</f>
        <v/>
      </c>
      <c r="D11" s="16"/>
      <c r="E11" s="16"/>
      <c r="F11" s="17" t="str">
        <f aca="false">IF(N(D11)&gt;0,E11/D11,"")</f>
        <v/>
      </c>
      <c r="G11" s="16"/>
      <c r="H11" s="16"/>
      <c r="I11" s="17" t="str">
        <f aca="false">IF(N(G11)&gt;0,H11/G11,"")</f>
        <v/>
      </c>
      <c r="J11" s="18"/>
      <c r="K11" s="18"/>
      <c r="L11" s="19" t="str">
        <f aca="false">IF(AND(N(J11)&gt;0,ISNUMBER(K11)),(K11-J11)/J11,"")</f>
        <v/>
      </c>
      <c r="M11" s="18"/>
      <c r="N11" s="18"/>
      <c r="O11" s="19" t="str">
        <f aca="false">IF(AND(N(M11)&gt;0,ISNUMBER(N11)),(N11-M11)/M11,"")</f>
        <v/>
      </c>
      <c r="P11" s="16"/>
      <c r="Q11" s="14"/>
    </row>
    <row r="12" customFormat="false" ht="15" hidden="false" customHeight="false" outlineLevel="0" collapsed="false">
      <c r="A12" s="15" t="str">
        <f aca="false">Projects!A12</f>
        <v>P08</v>
      </c>
      <c r="B12" s="15" t="str">
        <f aca="false">IF(Projects!B12="","",Projects!B12)</f>
        <v/>
      </c>
      <c r="C12" s="15" t="str">
        <f aca="false">IF(Projects!D12="","",Projects!D12)</f>
        <v/>
      </c>
      <c r="D12" s="16"/>
      <c r="E12" s="16"/>
      <c r="F12" s="17" t="str">
        <f aca="false">IF(N(D12)&gt;0,E12/D12,"")</f>
        <v/>
      </c>
      <c r="G12" s="16"/>
      <c r="H12" s="16"/>
      <c r="I12" s="17" t="str">
        <f aca="false">IF(N(G12)&gt;0,H12/G12,"")</f>
        <v/>
      </c>
      <c r="J12" s="18"/>
      <c r="K12" s="18"/>
      <c r="L12" s="19" t="str">
        <f aca="false">IF(AND(N(J12)&gt;0,ISNUMBER(K12)),(K12-J12)/J12,"")</f>
        <v/>
      </c>
      <c r="M12" s="18"/>
      <c r="N12" s="18"/>
      <c r="O12" s="19" t="str">
        <f aca="false">IF(AND(N(M12)&gt;0,ISNUMBER(N12)),(N12-M12)/M12,"")</f>
        <v/>
      </c>
      <c r="P12" s="16"/>
      <c r="Q12" s="14"/>
    </row>
    <row r="13" customFormat="false" ht="15" hidden="false" customHeight="false" outlineLevel="0" collapsed="false">
      <c r="A13" s="15" t="str">
        <f aca="false">Projects!A13</f>
        <v>P09</v>
      </c>
      <c r="B13" s="15" t="str">
        <f aca="false">IF(Projects!B13="","",Projects!B13)</f>
        <v/>
      </c>
      <c r="C13" s="15" t="str">
        <f aca="false">IF(Projects!D13="","",Projects!D13)</f>
        <v/>
      </c>
      <c r="D13" s="16"/>
      <c r="E13" s="16"/>
      <c r="F13" s="17" t="str">
        <f aca="false">IF(N(D13)&gt;0,E13/D13,"")</f>
        <v/>
      </c>
      <c r="G13" s="16"/>
      <c r="H13" s="16"/>
      <c r="I13" s="17" t="str">
        <f aca="false">IF(N(G13)&gt;0,H13/G13,"")</f>
        <v/>
      </c>
      <c r="J13" s="18"/>
      <c r="K13" s="18"/>
      <c r="L13" s="19" t="str">
        <f aca="false">IF(AND(N(J13)&gt;0,ISNUMBER(K13)),(K13-J13)/J13,"")</f>
        <v/>
      </c>
      <c r="M13" s="18"/>
      <c r="N13" s="18"/>
      <c r="O13" s="19" t="str">
        <f aca="false">IF(AND(N(M13)&gt;0,ISNUMBER(N13)),(N13-M13)/M13,"")</f>
        <v/>
      </c>
      <c r="P13" s="16"/>
      <c r="Q13" s="14"/>
    </row>
    <row r="14" customFormat="false" ht="15" hidden="false" customHeight="false" outlineLevel="0" collapsed="false">
      <c r="A14" s="15" t="str">
        <f aca="false">Projects!A14</f>
        <v>P10</v>
      </c>
      <c r="B14" s="15" t="str">
        <f aca="false">IF(Projects!B14="","",Projects!B14)</f>
        <v/>
      </c>
      <c r="C14" s="15" t="str">
        <f aca="false">IF(Projects!D14="","",Projects!D14)</f>
        <v/>
      </c>
      <c r="D14" s="16"/>
      <c r="E14" s="16"/>
      <c r="F14" s="17" t="str">
        <f aca="false">IF(N(D14)&gt;0,E14/D14,"")</f>
        <v/>
      </c>
      <c r="G14" s="16"/>
      <c r="H14" s="16"/>
      <c r="I14" s="17" t="str">
        <f aca="false">IF(N(G14)&gt;0,H14/G14,"")</f>
        <v/>
      </c>
      <c r="J14" s="18"/>
      <c r="K14" s="18"/>
      <c r="L14" s="19" t="str">
        <f aca="false">IF(AND(N(J14)&gt;0,ISNUMBER(K14)),(K14-J14)/J14,"")</f>
        <v/>
      </c>
      <c r="M14" s="18"/>
      <c r="N14" s="18"/>
      <c r="O14" s="19" t="str">
        <f aca="false">IF(AND(N(M14)&gt;0,ISNUMBER(N14)),(N14-M14)/M14,"")</f>
        <v/>
      </c>
      <c r="P14" s="16"/>
      <c r="Q14" s="14"/>
    </row>
    <row r="15" customFormat="false" ht="15" hidden="false" customHeight="false" outlineLevel="0" collapsed="false">
      <c r="A15" s="20"/>
      <c r="B15" s="21" t="s">
        <v>104</v>
      </c>
      <c r="C15" s="20"/>
      <c r="D15" s="21" t="n">
        <f aca="false">SUM(D5:D14)</f>
        <v>23</v>
      </c>
      <c r="E15" s="21" t="n">
        <f aca="false">SUM(E5:E14)</f>
        <v>16</v>
      </c>
      <c r="F15" s="22" t="n">
        <f aca="false">IF(D15&gt;0,E15/D15,"")</f>
        <v>0.695652173913044</v>
      </c>
      <c r="G15" s="21" t="n">
        <f aca="false">SUM(G5:G14)</f>
        <v>190</v>
      </c>
      <c r="H15" s="21" t="n">
        <f aca="false">SUM(H5:H14)</f>
        <v>62</v>
      </c>
      <c r="I15" s="22" t="n">
        <f aca="false">IF(G15&gt;0,H15/G15,"")</f>
        <v>0.326315789473684</v>
      </c>
      <c r="J15" s="20"/>
      <c r="K15" s="20"/>
      <c r="L15" s="23" t="n">
        <f aca="false">IFERROR(MEDIAN(L5:L14),"")</f>
        <v>-0.130952380952381</v>
      </c>
      <c r="M15" s="20"/>
      <c r="N15" s="20"/>
      <c r="O15" s="23" t="n">
        <f aca="false">IFERROR(MEDIAN(O5:O14),"")</f>
        <v>-0.120401337792642</v>
      </c>
      <c r="P15" s="20"/>
      <c r="Q15" s="20"/>
    </row>
    <row r="17" customFormat="false" ht="15" hidden="false" customHeight="false" outlineLevel="0" collapsed="false">
      <c r="B17" s="2" t="s">
        <v>105</v>
      </c>
    </row>
  </sheetData>
  <dataValidations count="1">
    <dataValidation allowBlank="true" errorStyle="stop" operator="between" showDropDown="false" showErrorMessage="false" showInputMessage="false" sqref="P5:P14" type="list">
      <formula1>"Measured,Estimated,Survey"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7" min="6" style="0" width="13"/>
    <col collapsed="false" customWidth="true" hidden="false" outlineLevel="0" max="8" min="8" style="0" width="12"/>
    <col collapsed="false" customWidth="true" hidden="false" outlineLevel="0" max="10" min="9" style="0" width="11"/>
    <col collapsed="false" customWidth="true" hidden="false" outlineLevel="0" max="12" min="11" style="0" width="12"/>
    <col collapsed="false" customWidth="true" hidden="false" outlineLevel="0" max="13" min="13" style="0" width="36"/>
  </cols>
  <sheetData>
    <row r="1" customFormat="false" ht="19.7" hidden="false" customHeight="false" outlineLevel="0" collapsed="false">
      <c r="A1" s="1" t="s">
        <v>106</v>
      </c>
    </row>
    <row r="2" customFormat="false" ht="15" hidden="false" customHeight="false" outlineLevel="0" collapsed="false">
      <c r="A2" s="2" t="s">
        <v>107</v>
      </c>
    </row>
    <row r="4" customFormat="false" ht="43.5" hidden="false" customHeight="true" outlineLevel="0" collapsed="false">
      <c r="A4" s="7" t="s">
        <v>55</v>
      </c>
      <c r="B4" s="7" t="s">
        <v>87</v>
      </c>
      <c r="C4" s="7" t="s">
        <v>108</v>
      </c>
      <c r="D4" s="7" t="s">
        <v>109</v>
      </c>
      <c r="E4" s="7" t="s">
        <v>110</v>
      </c>
      <c r="F4" s="7" t="s">
        <v>111</v>
      </c>
      <c r="G4" s="7" t="s">
        <v>112</v>
      </c>
      <c r="H4" s="7" t="s">
        <v>113</v>
      </c>
      <c r="I4" s="7" t="s">
        <v>114</v>
      </c>
      <c r="J4" s="7" t="s">
        <v>115</v>
      </c>
      <c r="K4" s="7" t="s">
        <v>116</v>
      </c>
      <c r="L4" s="7" t="s">
        <v>117</v>
      </c>
      <c r="M4" s="7" t="s">
        <v>62</v>
      </c>
    </row>
    <row r="5" customFormat="false" ht="15" hidden="false" customHeight="false" outlineLevel="0" collapsed="false">
      <c r="A5" s="15" t="str">
        <f aca="false">Projects!A5</f>
        <v>P01</v>
      </c>
      <c r="B5" s="15" t="str">
        <f aca="false">IF(Projects!B5="","",Projects!B5)</f>
        <v>Project A - Viewer platform (SAMPLE)</v>
      </c>
      <c r="C5" s="16" t="s">
        <v>118</v>
      </c>
      <c r="D5" s="16" t="n">
        <v>12</v>
      </c>
      <c r="E5" s="16" t="n">
        <v>4</v>
      </c>
      <c r="F5" s="16" t="s">
        <v>118</v>
      </c>
      <c r="G5" s="16" t="s">
        <v>118</v>
      </c>
      <c r="H5" s="16" t="s">
        <v>118</v>
      </c>
      <c r="I5" s="16" t="n">
        <v>60</v>
      </c>
      <c r="J5" s="16" t="n">
        <v>41</v>
      </c>
      <c r="K5" s="17" t="n">
        <f aca="false">IF(N(I5)&gt;0,J5/I5,"")</f>
        <v>0.683333333333333</v>
      </c>
      <c r="L5" s="8" t="n">
        <f aca="false">IF(COUNTA(C5,F5,G5,H5)=0,"",(C5="Yes")+(F5="Yes")+(G5="Yes")+(H5="Yes"))</f>
        <v>4</v>
      </c>
      <c r="M5" s="14" t="s">
        <v>119</v>
      </c>
    </row>
    <row r="6" customFormat="false" ht="15" hidden="false" customHeight="false" outlineLevel="0" collapsed="false">
      <c r="A6" s="15" t="str">
        <f aca="false">Projects!A6</f>
        <v>P02</v>
      </c>
      <c r="B6" s="15" t="str">
        <f aca="false">IF(Projects!B6="","",Projects!B6)</f>
        <v>Project B - Integration services (SAMPLE)</v>
      </c>
      <c r="C6" s="16" t="s">
        <v>120</v>
      </c>
      <c r="D6" s="16" t="n">
        <v>0</v>
      </c>
      <c r="E6" s="16" t="n">
        <v>0</v>
      </c>
      <c r="F6" s="16" t="s">
        <v>121</v>
      </c>
      <c r="G6" s="16" t="s">
        <v>74</v>
      </c>
      <c r="H6" s="16" t="s">
        <v>121</v>
      </c>
      <c r="I6" s="16" t="n">
        <v>18</v>
      </c>
      <c r="J6" s="16" t="n">
        <v>9</v>
      </c>
      <c r="K6" s="17" t="n">
        <f aca="false">IF(N(I6)&gt;0,J6/I6,"")</f>
        <v>0.5</v>
      </c>
      <c r="L6" s="8" t="n">
        <f aca="false">IF(COUNTA(C6,F6,G6,H6)=0,"",(C6="Yes")+(F6="Yes")+(G6="Yes")+(H6="Yes"))</f>
        <v>0</v>
      </c>
      <c r="M6" s="14" t="s">
        <v>119</v>
      </c>
    </row>
    <row r="7" customFormat="false" ht="15" hidden="false" customHeight="false" outlineLevel="0" collapsed="false">
      <c r="A7" s="15" t="str">
        <f aca="false">Projects!A7</f>
        <v>P03</v>
      </c>
      <c r="B7" s="15" t="str">
        <f aca="false">IF(Projects!B7="","",Projects!B7)</f>
        <v/>
      </c>
      <c r="C7" s="16"/>
      <c r="D7" s="16"/>
      <c r="E7" s="16"/>
      <c r="F7" s="16"/>
      <c r="G7" s="16"/>
      <c r="H7" s="16"/>
      <c r="I7" s="16"/>
      <c r="J7" s="16"/>
      <c r="K7" s="17" t="str">
        <f aca="false">IF(N(I7)&gt;0,J7/I7,"")</f>
        <v/>
      </c>
      <c r="L7" s="8" t="str">
        <f aca="false">IF(COUNTA(C7,F7,G7,H7)=0,"",(C7="Yes")+(F7="Yes")+(G7="Yes")+(H7="Yes"))</f>
        <v/>
      </c>
      <c r="M7" s="14"/>
    </row>
    <row r="8" customFormat="false" ht="15" hidden="false" customHeight="false" outlineLevel="0" collapsed="false">
      <c r="A8" s="15" t="str">
        <f aca="false">Projects!A8</f>
        <v>P04</v>
      </c>
      <c r="B8" s="15" t="str">
        <f aca="false">IF(Projects!B8="","",Projects!B8)</f>
        <v/>
      </c>
      <c r="C8" s="16"/>
      <c r="D8" s="16"/>
      <c r="E8" s="16"/>
      <c r="F8" s="16"/>
      <c r="G8" s="16"/>
      <c r="H8" s="16"/>
      <c r="I8" s="16"/>
      <c r="J8" s="16"/>
      <c r="K8" s="17" t="str">
        <f aca="false">IF(N(I8)&gt;0,J8/I8,"")</f>
        <v/>
      </c>
      <c r="L8" s="8" t="str">
        <f aca="false">IF(COUNTA(C8,F8,G8,H8)=0,"",(C8="Yes")+(F8="Yes")+(G8="Yes")+(H8="Yes"))</f>
        <v/>
      </c>
      <c r="M8" s="14"/>
    </row>
    <row r="9" customFormat="false" ht="15" hidden="false" customHeight="false" outlineLevel="0" collapsed="false">
      <c r="A9" s="15" t="str">
        <f aca="false">Projects!A9</f>
        <v>P05</v>
      </c>
      <c r="B9" s="15" t="str">
        <f aca="false">IF(Projects!B9="","",Projects!B9)</f>
        <v/>
      </c>
      <c r="C9" s="16"/>
      <c r="D9" s="16"/>
      <c r="E9" s="16"/>
      <c r="F9" s="16"/>
      <c r="G9" s="16"/>
      <c r="H9" s="16"/>
      <c r="I9" s="16"/>
      <c r="J9" s="16"/>
      <c r="K9" s="17" t="str">
        <f aca="false">IF(N(I9)&gt;0,J9/I9,"")</f>
        <v/>
      </c>
      <c r="L9" s="8" t="str">
        <f aca="false">IF(COUNTA(C9,F9,G9,H9)=0,"",(C9="Yes")+(F9="Yes")+(G9="Yes")+(H9="Yes"))</f>
        <v/>
      </c>
      <c r="M9" s="14"/>
    </row>
    <row r="10" customFormat="false" ht="15" hidden="false" customHeight="false" outlineLevel="0" collapsed="false">
      <c r="A10" s="15" t="str">
        <f aca="false">Projects!A10</f>
        <v>P06</v>
      </c>
      <c r="B10" s="15" t="str">
        <f aca="false">IF(Projects!B10="","",Projects!B10)</f>
        <v/>
      </c>
      <c r="C10" s="16"/>
      <c r="D10" s="16"/>
      <c r="E10" s="16"/>
      <c r="F10" s="16"/>
      <c r="G10" s="16"/>
      <c r="H10" s="16"/>
      <c r="I10" s="16"/>
      <c r="J10" s="16"/>
      <c r="K10" s="17" t="str">
        <f aca="false">IF(N(I10)&gt;0,J10/I10,"")</f>
        <v/>
      </c>
      <c r="L10" s="8" t="str">
        <f aca="false">IF(COUNTA(C10,F10,G10,H10)=0,"",(C10="Yes")+(F10="Yes")+(G10="Yes")+(H10="Yes"))</f>
        <v/>
      </c>
      <c r="M10" s="14"/>
    </row>
    <row r="11" customFormat="false" ht="15" hidden="false" customHeight="false" outlineLevel="0" collapsed="false">
      <c r="A11" s="15" t="str">
        <f aca="false">Projects!A11</f>
        <v>P07</v>
      </c>
      <c r="B11" s="15" t="str">
        <f aca="false">IF(Projects!B11="","",Projects!B11)</f>
        <v/>
      </c>
      <c r="C11" s="16"/>
      <c r="D11" s="16"/>
      <c r="E11" s="16"/>
      <c r="F11" s="16"/>
      <c r="G11" s="16"/>
      <c r="H11" s="16"/>
      <c r="I11" s="16"/>
      <c r="J11" s="16"/>
      <c r="K11" s="17" t="str">
        <f aca="false">IF(N(I11)&gt;0,J11/I11,"")</f>
        <v/>
      </c>
      <c r="L11" s="8" t="str">
        <f aca="false">IF(COUNTA(C11,F11,G11,H11)=0,"",(C11="Yes")+(F11="Yes")+(G11="Yes")+(H11="Yes"))</f>
        <v/>
      </c>
      <c r="M11" s="14"/>
    </row>
    <row r="12" customFormat="false" ht="15" hidden="false" customHeight="false" outlineLevel="0" collapsed="false">
      <c r="A12" s="15" t="str">
        <f aca="false">Projects!A12</f>
        <v>P08</v>
      </c>
      <c r="B12" s="15" t="str">
        <f aca="false">IF(Projects!B12="","",Projects!B12)</f>
        <v/>
      </c>
      <c r="C12" s="16"/>
      <c r="D12" s="16"/>
      <c r="E12" s="16"/>
      <c r="F12" s="16"/>
      <c r="G12" s="16"/>
      <c r="H12" s="16"/>
      <c r="I12" s="16"/>
      <c r="J12" s="16"/>
      <c r="K12" s="17" t="str">
        <f aca="false">IF(N(I12)&gt;0,J12/I12,"")</f>
        <v/>
      </c>
      <c r="L12" s="8" t="str">
        <f aca="false">IF(COUNTA(C12,F12,G12,H12)=0,"",(C12="Yes")+(F12="Yes")+(G12="Yes")+(H12="Yes"))</f>
        <v/>
      </c>
      <c r="M12" s="14"/>
    </row>
    <row r="13" customFormat="false" ht="15" hidden="false" customHeight="false" outlineLevel="0" collapsed="false">
      <c r="A13" s="15" t="str">
        <f aca="false">Projects!A13</f>
        <v>P09</v>
      </c>
      <c r="B13" s="15" t="str">
        <f aca="false">IF(Projects!B13="","",Projects!B13)</f>
        <v/>
      </c>
      <c r="C13" s="16"/>
      <c r="D13" s="16"/>
      <c r="E13" s="16"/>
      <c r="F13" s="16"/>
      <c r="G13" s="16"/>
      <c r="H13" s="16"/>
      <c r="I13" s="16"/>
      <c r="J13" s="16"/>
      <c r="K13" s="17" t="str">
        <f aca="false">IF(N(I13)&gt;0,J13/I13,"")</f>
        <v/>
      </c>
      <c r="L13" s="8" t="str">
        <f aca="false">IF(COUNTA(C13,F13,G13,H13)=0,"",(C13="Yes")+(F13="Yes")+(G13="Yes")+(H13="Yes"))</f>
        <v/>
      </c>
      <c r="M13" s="14"/>
    </row>
    <row r="14" customFormat="false" ht="15" hidden="false" customHeight="false" outlineLevel="0" collapsed="false">
      <c r="A14" s="15" t="str">
        <f aca="false">Projects!A14</f>
        <v>P10</v>
      </c>
      <c r="B14" s="15" t="str">
        <f aca="false">IF(Projects!B14="","",Projects!B14)</f>
        <v/>
      </c>
      <c r="C14" s="16"/>
      <c r="D14" s="16"/>
      <c r="E14" s="16"/>
      <c r="F14" s="16"/>
      <c r="G14" s="16"/>
      <c r="H14" s="16"/>
      <c r="I14" s="16"/>
      <c r="J14" s="16"/>
      <c r="K14" s="17" t="str">
        <f aca="false">IF(N(I14)&gt;0,J14/I14,"")</f>
        <v/>
      </c>
      <c r="L14" s="8" t="str">
        <f aca="false">IF(COUNTA(C14,F14,G14,H14)=0,"",(C14="Yes")+(F14="Yes")+(G14="Yes")+(H14="Yes"))</f>
        <v/>
      </c>
      <c r="M14" s="14"/>
    </row>
    <row r="15" customFormat="false" ht="15" hidden="false" customHeight="false" outlineLevel="0" collapsed="false">
      <c r="A15" s="20"/>
      <c r="B15" s="21" t="s">
        <v>122</v>
      </c>
      <c r="C15" s="20"/>
      <c r="D15" s="21" t="n">
        <f aca="false">SUM(D5:D14)</f>
        <v>12</v>
      </c>
      <c r="E15" s="21" t="n">
        <f aca="false">SUM(E5:E14)</f>
        <v>4</v>
      </c>
      <c r="F15" s="20"/>
      <c r="G15" s="20"/>
      <c r="H15" s="20"/>
      <c r="I15" s="21" t="n">
        <f aca="false">SUM(I5:I14)</f>
        <v>78</v>
      </c>
      <c r="J15" s="21" t="n">
        <f aca="false">SUM(J5:J14)</f>
        <v>50</v>
      </c>
      <c r="K15" s="22" t="n">
        <f aca="false">IF(I15&gt;0,J15/I15,"")</f>
        <v>0.641025641025641</v>
      </c>
      <c r="L15" s="20"/>
      <c r="M15" s="20"/>
    </row>
    <row r="17" customFormat="false" ht="15" hidden="false" customHeight="false" outlineLevel="0" collapsed="false">
      <c r="B17" s="2" t="s">
        <v>123</v>
      </c>
    </row>
  </sheetData>
  <dataValidations count="4">
    <dataValidation allowBlank="true" errorStyle="stop" operator="between" showDropDown="false" showErrorMessage="false" showInputMessage="false" sqref="C5:C14" type="list">
      <formula1>"Yes,Partial,No"</formula1>
      <formula2>0</formula2>
    </dataValidation>
    <dataValidation allowBlank="true" errorStyle="stop" operator="between" showDropDown="false" showErrorMessage="false" showInputMessage="false" sqref="F5:F14" type="list">
      <formula1>"Yes,No"</formula1>
      <formula2>0</formula2>
    </dataValidation>
    <dataValidation allowBlank="true" errorStyle="stop" operator="between" showDropDown="false" showErrorMessage="false" showInputMessage="false" sqref="G5:G14" type="list">
      <formula1>"Yes,Pilot,No"</formula1>
      <formula2>0</formula2>
    </dataValidation>
    <dataValidation allowBlank="true" errorStyle="stop" operator="between" showDropDown="false" showErrorMessage="false" showInputMessage="false" sqref="H5:H1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42"/>
    <col collapsed="false" customWidth="true" hidden="false" outlineLevel="0" max="4" min="4" style="0" width="52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4"/>
  </cols>
  <sheetData>
    <row r="1" customFormat="false" ht="19.7" hidden="false" customHeight="false" outlineLevel="0" collapsed="false">
      <c r="A1" s="1" t="s">
        <v>124</v>
      </c>
    </row>
    <row r="2" customFormat="false" ht="15" hidden="false" customHeight="false" outlineLevel="0" collapsed="false">
      <c r="A2" s="2" t="s">
        <v>125</v>
      </c>
    </row>
    <row r="4" customFormat="false" ht="43.5" hidden="false" customHeight="true" outlineLevel="0" collapsed="false">
      <c r="A4" s="7" t="s">
        <v>126</v>
      </c>
      <c r="B4" s="7" t="s">
        <v>127</v>
      </c>
      <c r="C4" s="7" t="s">
        <v>128</v>
      </c>
      <c r="D4" s="7" t="s">
        <v>129</v>
      </c>
      <c r="E4" s="7" t="s">
        <v>130</v>
      </c>
      <c r="F4" s="7" t="s">
        <v>131</v>
      </c>
      <c r="G4" s="7" t="s">
        <v>132</v>
      </c>
    </row>
    <row r="5" customFormat="false" ht="55.5" hidden="false" customHeight="true" outlineLevel="0" collapsed="false">
      <c r="A5" s="8" t="n">
        <v>1</v>
      </c>
      <c r="B5" s="10" t="s">
        <v>133</v>
      </c>
      <c r="C5" s="10" t="s">
        <v>134</v>
      </c>
      <c r="D5" s="10" t="s">
        <v>135</v>
      </c>
      <c r="E5" s="16" t="s">
        <v>136</v>
      </c>
      <c r="F5" s="16"/>
      <c r="G5" s="16" t="s">
        <v>137</v>
      </c>
    </row>
    <row r="6" customFormat="false" ht="55.5" hidden="false" customHeight="true" outlineLevel="0" collapsed="false">
      <c r="A6" s="8" t="n">
        <v>2</v>
      </c>
      <c r="B6" s="10" t="s">
        <v>138</v>
      </c>
      <c r="C6" s="10" t="s">
        <v>139</v>
      </c>
      <c r="D6" s="10" t="s">
        <v>140</v>
      </c>
      <c r="E6" s="16" t="s">
        <v>136</v>
      </c>
      <c r="F6" s="16"/>
      <c r="G6" s="16" t="s">
        <v>137</v>
      </c>
    </row>
    <row r="7" customFormat="false" ht="55.5" hidden="false" customHeight="true" outlineLevel="0" collapsed="false">
      <c r="A7" s="8" t="n">
        <v>3</v>
      </c>
      <c r="B7" s="10" t="s">
        <v>141</v>
      </c>
      <c r="C7" s="10" t="s">
        <v>142</v>
      </c>
      <c r="D7" s="10" t="s">
        <v>143</v>
      </c>
      <c r="E7" s="16" t="s">
        <v>136</v>
      </c>
      <c r="F7" s="16"/>
      <c r="G7" s="16" t="s">
        <v>137</v>
      </c>
    </row>
    <row r="8" customFormat="false" ht="55.5" hidden="false" customHeight="true" outlineLevel="0" collapsed="false">
      <c r="A8" s="8" t="n">
        <v>4</v>
      </c>
      <c r="B8" s="10" t="s">
        <v>144</v>
      </c>
      <c r="C8" s="10" t="s">
        <v>145</v>
      </c>
      <c r="D8" s="10" t="s">
        <v>146</v>
      </c>
      <c r="E8" s="16" t="s">
        <v>147</v>
      </c>
      <c r="F8" s="16"/>
      <c r="G8" s="16" t="s">
        <v>137</v>
      </c>
    </row>
    <row r="9" customFormat="false" ht="55.5" hidden="false" customHeight="true" outlineLevel="0" collapsed="false">
      <c r="A9" s="8" t="n">
        <v>5</v>
      </c>
      <c r="B9" s="10" t="s">
        <v>148</v>
      </c>
      <c r="C9" s="10" t="s">
        <v>149</v>
      </c>
      <c r="D9" s="10" t="s">
        <v>150</v>
      </c>
      <c r="E9" s="16" t="s">
        <v>136</v>
      </c>
      <c r="F9" s="16"/>
      <c r="G9" s="16" t="s">
        <v>137</v>
      </c>
    </row>
    <row r="10" customFormat="false" ht="55.5" hidden="false" customHeight="true" outlineLevel="0" collapsed="false">
      <c r="A10" s="8" t="n">
        <v>6</v>
      </c>
      <c r="B10" s="10" t="s">
        <v>151</v>
      </c>
      <c r="C10" s="10" t="s">
        <v>152</v>
      </c>
      <c r="D10" s="10" t="s">
        <v>153</v>
      </c>
      <c r="E10" s="16" t="s">
        <v>136</v>
      </c>
      <c r="F10" s="16"/>
      <c r="G10" s="16" t="s">
        <v>137</v>
      </c>
    </row>
    <row r="11" customFormat="false" ht="55.5" hidden="false" customHeight="true" outlineLevel="0" collapsed="false">
      <c r="A11" s="8" t="n">
        <v>7</v>
      </c>
      <c r="B11" s="10" t="s">
        <v>154</v>
      </c>
      <c r="C11" s="10" t="s">
        <v>155</v>
      </c>
      <c r="D11" s="10" t="s">
        <v>156</v>
      </c>
      <c r="E11" s="16" t="s">
        <v>147</v>
      </c>
      <c r="F11" s="16"/>
      <c r="G11" s="16" t="s">
        <v>137</v>
      </c>
    </row>
    <row r="12" customFormat="false" ht="55.5" hidden="false" customHeight="true" outlineLevel="0" collapsed="false">
      <c r="A12" s="8" t="n">
        <v>8</v>
      </c>
      <c r="B12" s="10" t="s">
        <v>157</v>
      </c>
      <c r="C12" s="10" t="s">
        <v>158</v>
      </c>
      <c r="D12" s="10" t="s">
        <v>159</v>
      </c>
      <c r="E12" s="16" t="s">
        <v>136</v>
      </c>
      <c r="F12" s="16"/>
      <c r="G12" s="16" t="s">
        <v>137</v>
      </c>
    </row>
  </sheetData>
  <dataValidations count="2">
    <dataValidation allowBlank="true" errorStyle="stop" operator="between" showDropDown="false" showErrorMessage="false" showInputMessage="false" sqref="E5:E12" type="list">
      <formula1>"Low,Medium,High"</formula1>
      <formula2>0</formula2>
    </dataValidation>
    <dataValidation allowBlank="true" errorStyle="stop" operator="between" showDropDown="false" showErrorMessage="false" showInputMessage="false" sqref="G5:G12" type="list">
      <formula1>"Open,Mitigating,Accepted,Closed"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2026-10-07T07:26:37Z</dcterms:created>
  <dc:creator>openpyxl</dc:creator>
  <dc:description/>
  <dc:language>en-US</dc:language>
  <cp:lastModifiedBy/>
  <dcterms:modified xsi:type="dcterms:W3CDTF">2026-10-07T07:26:40Z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